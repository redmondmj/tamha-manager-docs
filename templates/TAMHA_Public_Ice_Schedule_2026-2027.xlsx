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1_Oct_05_11" sheetId="1" state="visible" r:id="rId1"/>
    <sheet xmlns:r="http://schemas.openxmlformats.org/officeDocument/2006/relationships" name="Week_2_Oct_12_18" sheetId="2" state="visible" r:id="rId2"/>
    <sheet xmlns:r="http://schemas.openxmlformats.org/officeDocument/2006/relationships" name="Teams_and_Divisions" sheetId="3" state="visible" r:id="rId3"/>
    <sheet xmlns:r="http://schemas.openxmlformats.org/officeDocument/2006/relationships" name="Manager_GrayJay_Export" sheetId="4" state="visible" r:id="rId4"/>
    <sheet xmlns:r="http://schemas.openxmlformats.org/officeDocument/2006/relationships" name="Schedule_Slots_Da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sz val="10"/>
    </font>
    <font>
      <name val="Arial"/>
      <b val="1"/>
      <sz val="10"/>
    </font>
    <font>
      <name val="Arial"/>
      <b val="1"/>
      <color rgb="009C6500"/>
      <sz val="10"/>
    </font>
    <font>
      <name val="Arial"/>
      <b val="1"/>
      <color rgb="001F497D"/>
      <sz val="10"/>
    </font>
    <font>
      <name val="Arial"/>
      <b val="1"/>
      <color rgb="001F497D"/>
      <sz val="12"/>
    </font>
    <font>
      <name val="Arial"/>
      <b val="1"/>
      <color rgb="001E4620"/>
      <sz val="9"/>
    </font>
    <font>
      <name val="Consolas"/>
      <color rgb="001E4620"/>
      <sz val="9"/>
    </font>
  </fonts>
  <fills count="12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DF2F8"/>
        <bgColor rgb="00EDF2F8"/>
      </patternFill>
    </fill>
    <fill>
      <patternFill patternType="solid">
        <fgColor rgb="00FFEB9C"/>
        <bgColor rgb="00FFEB9C"/>
      </patternFill>
    </fill>
    <fill>
      <patternFill patternType="solid">
        <fgColor rgb="00D5E8D4"/>
        <bgColor rgb="00D5E8D4"/>
      </patternFill>
    </fill>
    <fill>
      <patternFill patternType="solid">
        <fgColor rgb="001E4620"/>
        <bgColor rgb="001E4620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0" fillId="9" borderId="0" pivotButton="0" quotePrefix="0" xfId="0"/>
    <xf numFmtId="0" fontId="3" fillId="10" borderId="1" applyAlignment="1" pivotButton="0" quotePrefix="0" xfId="0">
      <alignment horizontal="center" vertical="center"/>
    </xf>
    <xf numFmtId="0" fontId="5" fillId="0" borderId="1" pivotButton="0" quotePrefix="0" xfId="0"/>
    <xf numFmtId="0" fontId="11" fillId="11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24" customWidth="1" min="4" max="4"/>
    <col width="24" customWidth="1" min="5" max="5"/>
    <col width="26" customWidth="1" min="6" max="6"/>
  </cols>
  <sheetData>
    <row r="1">
      <c r="B1" s="1" t="inlineStr">
        <is>
          <t>TRURO AREA MINOR HOCKEY ASSOCIATION</t>
        </is>
      </c>
    </row>
    <row r="2">
      <c r="B2" s="2" t="inlineStr">
        <is>
          <t>Master Ice Schedule — Week 1: October 5 - 11, 2026 (Shared Public View)</t>
        </is>
      </c>
    </row>
    <row r="4">
      <c r="B4" s="3" t="inlineStr">
        <is>
          <t>TIME</t>
        </is>
      </c>
      <c r="C4" s="4" t="inlineStr">
        <is>
          <t>Colchester Legion Stadium</t>
        </is>
      </c>
      <c r="D4" s="5" t="inlineStr">
        <is>
          <t>Deuville's Rink</t>
        </is>
      </c>
      <c r="E4" s="6" t="inlineStr">
        <is>
          <t>RECC</t>
        </is>
      </c>
      <c r="F4" s="7" t="inlineStr">
        <is>
          <t>West Colchester (Debert)</t>
        </is>
      </c>
    </row>
    <row r="5">
      <c r="B5" s="8" t="inlineStr">
        <is>
          <t>16:00 - 17:00</t>
        </is>
      </c>
      <c r="C5" s="9" t="inlineStr"/>
      <c r="D5" s="9" t="inlineStr">
        <is>
          <t>U13A</t>
        </is>
      </c>
      <c r="E5" s="9" t="inlineStr"/>
      <c r="F5" s="9" t="inlineStr"/>
    </row>
    <row r="6">
      <c r="B6" s="8" t="inlineStr">
        <is>
          <t>16:30 - 17:30</t>
        </is>
      </c>
      <c r="C6" s="9" t="inlineStr"/>
      <c r="D6" s="9" t="inlineStr"/>
      <c r="E6" s="9" t="inlineStr">
        <is>
          <t>U11AA</t>
        </is>
      </c>
      <c r="F6" s="9" t="inlineStr"/>
    </row>
    <row r="7">
      <c r="B7" s="8" t="inlineStr">
        <is>
          <t>17:00 - 18:00</t>
        </is>
      </c>
      <c r="C7" s="9" t="inlineStr">
        <is>
          <t>U13A</t>
        </is>
      </c>
      <c r="D7" s="9" t="inlineStr">
        <is>
          <t>U11AA</t>
        </is>
      </c>
      <c r="E7" s="9" t="inlineStr"/>
      <c r="F7" s="9" t="inlineStr">
        <is>
          <t>U11C Bernard</t>
        </is>
      </c>
    </row>
    <row r="8">
      <c r="B8" s="8" t="inlineStr">
        <is>
          <t>17:30 - 18:30</t>
        </is>
      </c>
      <c r="C8" s="9" t="inlineStr"/>
      <c r="D8" s="9" t="inlineStr"/>
      <c r="E8" s="9" t="inlineStr">
        <is>
          <t>U13A (Skills)</t>
        </is>
      </c>
      <c r="F8" s="9" t="inlineStr"/>
    </row>
    <row r="9">
      <c r="B9" s="8" t="inlineStr">
        <is>
          <t>18:00 - 19:00</t>
        </is>
      </c>
      <c r="C9" s="9" t="inlineStr">
        <is>
          <t>U11C Bernard</t>
        </is>
      </c>
      <c r="D9" s="9" t="inlineStr"/>
      <c r="E9" s="9" t="inlineStr"/>
      <c r="F9" s="9" t="inlineStr"/>
    </row>
    <row r="10">
      <c r="B10" s="8" t="inlineStr">
        <is>
          <t>18:00 - 19:30</t>
        </is>
      </c>
      <c r="C10" s="9" t="inlineStr"/>
      <c r="D10" s="9" t="inlineStr">
        <is>
          <t>U15AA</t>
        </is>
      </c>
      <c r="E10" s="9" t="inlineStr"/>
      <c r="F10" s="9" t="inlineStr"/>
    </row>
    <row r="11">
      <c r="B11" s="8" t="inlineStr">
        <is>
          <t>18:30 - 20:00</t>
        </is>
      </c>
      <c r="C11" s="9" t="inlineStr"/>
      <c r="D11" s="9" t="inlineStr"/>
      <c r="E11" s="9" t="inlineStr">
        <is>
          <t>U15AA</t>
        </is>
      </c>
      <c r="F11" s="9" t="inlineStr"/>
    </row>
    <row r="12">
      <c r="B12" s="8" t="inlineStr">
        <is>
          <t>19:30 - 20:30</t>
        </is>
      </c>
      <c r="C12" s="9" t="inlineStr"/>
      <c r="D12" s="10" t="inlineStr">
        <is>
          <t>[OPEN]</t>
        </is>
      </c>
      <c r="E12" s="9" t="inlineStr"/>
      <c r="F12" s="9" t="inlineStr"/>
    </row>
    <row r="13">
      <c r="B13" s="8" t="inlineStr">
        <is>
          <t>Saturday 16:30 - 17:50</t>
        </is>
      </c>
      <c r="C13" s="11" t="inlineStr">
        <is>
          <t>U13AA (Game)</t>
        </is>
      </c>
      <c r="D13" s="9" t="inlineStr"/>
      <c r="E13" s="9" t="inlineStr"/>
      <c r="F13" s="9" t="inlineStr"/>
    </row>
    <row r="14">
      <c r="B14" s="8" t="inlineStr">
        <is>
          <t>Sunday 12:00 - 13:00</t>
        </is>
      </c>
      <c r="C14" s="10" t="inlineStr">
        <is>
          <t>[OPEN]</t>
        </is>
      </c>
      <c r="D14" s="9" t="inlineStr"/>
      <c r="E14" s="9" t="inlineStr"/>
      <c r="F14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24" customWidth="1" min="4" max="4"/>
    <col width="24" customWidth="1" min="5" max="5"/>
    <col width="26" customWidth="1" min="6" max="6"/>
  </cols>
  <sheetData>
    <row r="1">
      <c r="B1" s="1" t="inlineStr">
        <is>
          <t>TRURO AREA MINOR HOCKEY ASSOCIATION</t>
        </is>
      </c>
    </row>
    <row r="2">
      <c r="B2" s="2" t="inlineStr">
        <is>
          <t>Master Ice Schedule — Week 2: October 12 - 18, 2026 (Shared Public View)</t>
        </is>
      </c>
    </row>
    <row r="4">
      <c r="B4" s="3" t="inlineStr">
        <is>
          <t>TIME</t>
        </is>
      </c>
      <c r="C4" s="4" t="inlineStr">
        <is>
          <t>Colchester Legion Stadium</t>
        </is>
      </c>
      <c r="D4" s="5" t="inlineStr">
        <is>
          <t>Deuville's Rink</t>
        </is>
      </c>
      <c r="E4" s="6" t="inlineStr">
        <is>
          <t>RECC</t>
        </is>
      </c>
      <c r="F4" s="7" t="inlineStr">
        <is>
          <t>West Colchester (Debert)</t>
        </is>
      </c>
    </row>
    <row r="5">
      <c r="B5" s="8" t="inlineStr">
        <is>
          <t>16:00 - 17:00</t>
        </is>
      </c>
      <c r="C5" s="9" t="inlineStr"/>
      <c r="D5" s="9" t="inlineStr">
        <is>
          <t>U13A</t>
        </is>
      </c>
      <c r="E5" s="9" t="inlineStr"/>
      <c r="F5" s="9" t="inlineStr"/>
    </row>
    <row r="6">
      <c r="B6" s="8" t="inlineStr">
        <is>
          <t>16:30 - 17:30</t>
        </is>
      </c>
      <c r="C6" s="9" t="inlineStr"/>
      <c r="D6" s="9" t="inlineStr"/>
      <c r="E6" s="9" t="inlineStr">
        <is>
          <t>U11AA</t>
        </is>
      </c>
      <c r="F6" s="9" t="inlineStr"/>
    </row>
    <row r="7">
      <c r="B7" s="8" t="inlineStr">
        <is>
          <t>17:00 - 18:00</t>
        </is>
      </c>
      <c r="C7" s="9" t="inlineStr">
        <is>
          <t>U13A</t>
        </is>
      </c>
      <c r="D7" s="9" t="inlineStr">
        <is>
          <t>U11AA</t>
        </is>
      </c>
      <c r="E7" s="9" t="inlineStr"/>
      <c r="F7" s="9" t="inlineStr">
        <is>
          <t>U11C Bernard</t>
        </is>
      </c>
    </row>
    <row r="8">
      <c r="B8" s="8" t="inlineStr">
        <is>
          <t>17:30 - 18:30</t>
        </is>
      </c>
      <c r="C8" s="9" t="inlineStr"/>
      <c r="D8" s="9" t="inlineStr"/>
      <c r="E8" s="9" t="inlineStr">
        <is>
          <t>U13A (Skills)</t>
        </is>
      </c>
      <c r="F8" s="9" t="inlineStr"/>
    </row>
    <row r="9">
      <c r="B9" s="8" t="inlineStr">
        <is>
          <t>18:00 - 19:00</t>
        </is>
      </c>
      <c r="C9" s="9" t="inlineStr">
        <is>
          <t>U11C Bernard</t>
        </is>
      </c>
      <c r="D9" s="9" t="inlineStr"/>
      <c r="E9" s="9" t="inlineStr"/>
      <c r="F9" s="9" t="inlineStr"/>
    </row>
    <row r="10">
      <c r="B10" s="8" t="inlineStr">
        <is>
          <t>18:00 - 19:30</t>
        </is>
      </c>
      <c r="C10" s="9" t="inlineStr"/>
      <c r="D10" s="9" t="inlineStr">
        <is>
          <t>U15AA</t>
        </is>
      </c>
      <c r="E10" s="9" t="inlineStr"/>
      <c r="F10" s="9" t="inlineStr"/>
    </row>
    <row r="11">
      <c r="B11" s="8" t="inlineStr">
        <is>
          <t>18:30 - 20:00</t>
        </is>
      </c>
      <c r="C11" s="9" t="inlineStr"/>
      <c r="D11" s="9" t="inlineStr"/>
      <c r="E11" s="9" t="inlineStr">
        <is>
          <t>U15AA</t>
        </is>
      </c>
      <c r="F11" s="9" t="inlineStr"/>
    </row>
    <row r="12">
      <c r="B12" s="8" t="inlineStr">
        <is>
          <t>19:30 - 20:30</t>
        </is>
      </c>
      <c r="C12" s="9" t="inlineStr"/>
      <c r="D12" s="10" t="inlineStr">
        <is>
          <t>[OPEN]</t>
        </is>
      </c>
      <c r="E12" s="9" t="inlineStr"/>
      <c r="F12" s="9" t="inlineStr"/>
    </row>
    <row r="13">
      <c r="B13" s="8" t="inlineStr">
        <is>
          <t>Saturday 16:30 - 17:50</t>
        </is>
      </c>
      <c r="C13" s="11" t="inlineStr">
        <is>
          <t>U13AA (Game)</t>
        </is>
      </c>
      <c r="D13" s="9" t="inlineStr"/>
      <c r="E13" s="9" t="inlineStr"/>
      <c r="F13" s="9" t="inlineStr"/>
    </row>
    <row r="14">
      <c r="B14" s="8" t="inlineStr">
        <is>
          <t>Sunday 12:00 - 13:00</t>
        </is>
      </c>
      <c r="C14" s="10" t="inlineStr">
        <is>
          <t>[OPEN]</t>
        </is>
      </c>
      <c r="D14" s="9" t="inlineStr"/>
      <c r="E14" s="9" t="inlineStr"/>
      <c r="F14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6" customWidth="1" min="3" max="3"/>
    <col width="18" customWidth="1" min="4" max="4"/>
    <col width="20" customWidth="1" min="5" max="5"/>
  </cols>
  <sheetData>
    <row r="1">
      <c r="B1" s="1" t="inlineStr">
        <is>
          <t>TAMHA TEAMS &amp; DIVISIONS MASTER DIRECTORY</t>
        </is>
      </c>
    </row>
    <row r="2">
      <c r="B2" s="2" t="inlineStr">
        <is>
          <t>Standardized canonical names across all divisions (2026-2027 Season)</t>
        </is>
      </c>
    </row>
    <row r="4">
      <c r="B4" s="12" t="inlineStr">
        <is>
          <t>Division</t>
        </is>
      </c>
      <c r="C4" s="12" t="inlineStr">
        <is>
          <t>Team Name</t>
        </is>
      </c>
      <c r="D4" s="12" t="inlineStr">
        <is>
          <t>Category</t>
        </is>
      </c>
      <c r="E4" s="12" t="inlineStr">
        <is>
          <t>Target Quota (Hrs)</t>
        </is>
      </c>
    </row>
    <row r="5">
      <c r="B5" s="9" t="inlineStr">
        <is>
          <t>U7</t>
        </is>
      </c>
      <c r="C5" s="13" t="inlineStr">
        <is>
          <t>U7 Initiation (Shared)</t>
        </is>
      </c>
      <c r="D5" s="9" t="inlineStr">
        <is>
          <t>Development</t>
        </is>
      </c>
      <c r="E5" s="14" t="n">
        <v>30</v>
      </c>
    </row>
    <row r="6">
      <c r="B6" s="9" t="inlineStr">
        <is>
          <t>U9</t>
        </is>
      </c>
      <c r="C6" s="13" t="inlineStr">
        <is>
          <t>U9 Development (Shared)</t>
        </is>
      </c>
      <c r="D6" s="9" t="inlineStr">
        <is>
          <t>Development</t>
        </is>
      </c>
      <c r="E6" s="14" t="n">
        <v>35</v>
      </c>
    </row>
    <row r="7">
      <c r="B7" s="9" t="inlineStr">
        <is>
          <t>U11</t>
        </is>
      </c>
      <c r="C7" s="13" t="inlineStr">
        <is>
          <t>U11AAA</t>
        </is>
      </c>
      <c r="D7" s="9" t="inlineStr">
        <is>
          <t>Competitive</t>
        </is>
      </c>
      <c r="E7" s="14" t="n">
        <v>55</v>
      </c>
    </row>
    <row r="8">
      <c r="B8" s="9" t="inlineStr">
        <is>
          <t>U11</t>
        </is>
      </c>
      <c r="C8" s="13" t="inlineStr">
        <is>
          <t>U11AA</t>
        </is>
      </c>
      <c r="D8" s="9" t="inlineStr">
        <is>
          <t>Competitive</t>
        </is>
      </c>
      <c r="E8" s="14" t="n">
        <v>50</v>
      </c>
    </row>
    <row r="9">
      <c r="B9" s="9" t="inlineStr">
        <is>
          <t>U11</t>
        </is>
      </c>
      <c r="C9" s="13" t="inlineStr">
        <is>
          <t>U11A</t>
        </is>
      </c>
      <c r="D9" s="9" t="inlineStr">
        <is>
          <t>Competitive</t>
        </is>
      </c>
      <c r="E9" s="14" t="n">
        <v>45</v>
      </c>
    </row>
    <row r="10">
      <c r="B10" s="9" t="inlineStr">
        <is>
          <t>U11</t>
        </is>
      </c>
      <c r="C10" s="13" t="inlineStr">
        <is>
          <t>U11B</t>
        </is>
      </c>
      <c r="D10" s="9" t="inlineStr">
        <is>
          <t>Competitive</t>
        </is>
      </c>
      <c r="E10" s="14" t="n">
        <v>40</v>
      </c>
    </row>
    <row r="11">
      <c r="B11" s="9" t="inlineStr">
        <is>
          <t>U11</t>
        </is>
      </c>
      <c r="C11" s="13" t="inlineStr">
        <is>
          <t>U11C Bernard</t>
        </is>
      </c>
      <c r="D11" s="9" t="inlineStr">
        <is>
          <t>Recreation</t>
        </is>
      </c>
      <c r="E11" s="14" t="n">
        <v>35</v>
      </c>
    </row>
    <row r="12">
      <c r="B12" s="9" t="inlineStr">
        <is>
          <t>U11</t>
        </is>
      </c>
      <c r="C12" s="13" t="inlineStr">
        <is>
          <t>U11C Team 2</t>
        </is>
      </c>
      <c r="D12" s="9" t="inlineStr">
        <is>
          <t>Recreation</t>
        </is>
      </c>
      <c r="E12" s="14" t="n">
        <v>35</v>
      </c>
    </row>
    <row r="13">
      <c r="B13" s="9" t="inlineStr">
        <is>
          <t>U11</t>
        </is>
      </c>
      <c r="C13" s="13" t="inlineStr">
        <is>
          <t>U11C Team 3</t>
        </is>
      </c>
      <c r="D13" s="9" t="inlineStr">
        <is>
          <t>Recreation</t>
        </is>
      </c>
      <c r="E13" s="14" t="n">
        <v>35</v>
      </c>
    </row>
    <row r="14">
      <c r="B14" s="9" t="inlineStr">
        <is>
          <t>U13</t>
        </is>
      </c>
      <c r="C14" s="13" t="inlineStr">
        <is>
          <t>U13AAA</t>
        </is>
      </c>
      <c r="D14" s="9" t="inlineStr">
        <is>
          <t>Competitive</t>
        </is>
      </c>
      <c r="E14" s="14" t="n">
        <v>60</v>
      </c>
    </row>
    <row r="15">
      <c r="B15" s="9" t="inlineStr">
        <is>
          <t>U13</t>
        </is>
      </c>
      <c r="C15" s="13" t="inlineStr">
        <is>
          <t>U13AA</t>
        </is>
      </c>
      <c r="D15" s="9" t="inlineStr">
        <is>
          <t>Competitive</t>
        </is>
      </c>
      <c r="E15" s="14" t="n">
        <v>55</v>
      </c>
    </row>
    <row r="16">
      <c r="B16" s="9" t="inlineStr">
        <is>
          <t>U13</t>
        </is>
      </c>
      <c r="C16" s="13" t="inlineStr">
        <is>
          <t>U13A</t>
        </is>
      </c>
      <c r="D16" s="9" t="inlineStr">
        <is>
          <t>Competitive</t>
        </is>
      </c>
      <c r="E16" s="14" t="n">
        <v>50</v>
      </c>
    </row>
    <row r="17">
      <c r="B17" s="9" t="inlineStr">
        <is>
          <t>U13</t>
        </is>
      </c>
      <c r="C17" s="13" t="inlineStr">
        <is>
          <t>U13B</t>
        </is>
      </c>
      <c r="D17" s="9" t="inlineStr">
        <is>
          <t>Competitive</t>
        </is>
      </c>
      <c r="E17" s="14" t="n">
        <v>45</v>
      </c>
    </row>
    <row r="18">
      <c r="B18" s="9" t="inlineStr">
        <is>
          <t>U13</t>
        </is>
      </c>
      <c r="C18" s="13" t="inlineStr">
        <is>
          <t>U13C Team 1</t>
        </is>
      </c>
      <c r="D18" s="9" t="inlineStr">
        <is>
          <t>Recreation</t>
        </is>
      </c>
      <c r="E18" s="14" t="n">
        <v>35</v>
      </c>
    </row>
    <row r="19">
      <c r="B19" s="9" t="inlineStr">
        <is>
          <t>U13</t>
        </is>
      </c>
      <c r="C19" s="13" t="inlineStr">
        <is>
          <t>U13C Team 2</t>
        </is>
      </c>
      <c r="D19" s="9" t="inlineStr">
        <is>
          <t>Recreation</t>
        </is>
      </c>
      <c r="E19" s="14" t="n">
        <v>35</v>
      </c>
    </row>
    <row r="20">
      <c r="B20" s="9" t="inlineStr">
        <is>
          <t>U15</t>
        </is>
      </c>
      <c r="C20" s="13" t="inlineStr">
        <is>
          <t>U15AA</t>
        </is>
      </c>
      <c r="D20" s="9" t="inlineStr">
        <is>
          <t>Competitive</t>
        </is>
      </c>
      <c r="E20" s="14" t="n">
        <v>55</v>
      </c>
    </row>
    <row r="21">
      <c r="B21" s="9" t="inlineStr">
        <is>
          <t>U15</t>
        </is>
      </c>
      <c r="C21" s="13" t="inlineStr">
        <is>
          <t>U15A</t>
        </is>
      </c>
      <c r="D21" s="9" t="inlineStr">
        <is>
          <t>Competitive</t>
        </is>
      </c>
      <c r="E21" s="14" t="n">
        <v>45</v>
      </c>
    </row>
    <row r="22">
      <c r="B22" s="9" t="inlineStr">
        <is>
          <t>U15</t>
        </is>
      </c>
      <c r="C22" s="13" t="inlineStr">
        <is>
          <t>U15B</t>
        </is>
      </c>
      <c r="D22" s="9" t="inlineStr">
        <is>
          <t>Competitive</t>
        </is>
      </c>
      <c r="E22" s="14" t="n">
        <v>40</v>
      </c>
    </row>
    <row r="23">
      <c r="B23" s="9" t="inlineStr">
        <is>
          <t>U15</t>
        </is>
      </c>
      <c r="C23" s="13" t="inlineStr">
        <is>
          <t>U15C Team 1</t>
        </is>
      </c>
      <c r="D23" s="9" t="inlineStr">
        <is>
          <t>Recreation</t>
        </is>
      </c>
      <c r="E23" s="14" t="n">
        <v>35</v>
      </c>
    </row>
    <row r="24">
      <c r="B24" s="9" t="inlineStr">
        <is>
          <t>U15</t>
        </is>
      </c>
      <c r="C24" s="13" t="inlineStr">
        <is>
          <t>U15C Team 2</t>
        </is>
      </c>
      <c r="D24" s="9" t="inlineStr">
        <is>
          <t>Recreation</t>
        </is>
      </c>
      <c r="E24" s="14" t="n">
        <v>35</v>
      </c>
    </row>
    <row r="25">
      <c r="B25" s="9" t="inlineStr">
        <is>
          <t>U18</t>
        </is>
      </c>
      <c r="C25" s="13" t="inlineStr">
        <is>
          <t>U18AA</t>
        </is>
      </c>
      <c r="D25" s="9" t="inlineStr">
        <is>
          <t>Competitive</t>
        </is>
      </c>
      <c r="E25" s="14" t="n">
        <v>55</v>
      </c>
    </row>
    <row r="26">
      <c r="B26" s="9" t="inlineStr">
        <is>
          <t>U18</t>
        </is>
      </c>
      <c r="C26" s="13" t="inlineStr">
        <is>
          <t>U18A</t>
        </is>
      </c>
      <c r="D26" s="9" t="inlineStr">
        <is>
          <t>Competitive</t>
        </is>
      </c>
      <c r="E26" s="14" t="n">
        <v>45</v>
      </c>
    </row>
    <row r="27">
      <c r="B27" s="9" t="inlineStr">
        <is>
          <t>U18</t>
        </is>
      </c>
      <c r="C27" s="13" t="inlineStr">
        <is>
          <t>U18C Team 1</t>
        </is>
      </c>
      <c r="D27" s="9" t="inlineStr">
        <is>
          <t>Recreation</t>
        </is>
      </c>
      <c r="E27" s="14" t="n">
        <v>35</v>
      </c>
    </row>
    <row r="28">
      <c r="B28" s="9" t="inlineStr">
        <is>
          <t>U18</t>
        </is>
      </c>
      <c r="C28" s="13" t="inlineStr">
        <is>
          <t>U18C Team 2</t>
        </is>
      </c>
      <c r="D28" s="9" t="inlineStr">
        <is>
          <t>Recreation</t>
        </is>
      </c>
      <c r="E28" s="14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18" customWidth="1" min="4" max="4"/>
    <col width="16" customWidth="1" min="5" max="5"/>
    <col width="22" customWidth="1" min="6" max="6"/>
    <col width="22" customWidth="1" min="7" max="7"/>
    <col width="42" customWidth="1" min="8" max="8"/>
    <col width="20" customWidth="1" min="9" max="9"/>
    <col width="14" customWidth="1" min="10" max="10"/>
    <col width="28" customWidth="1" min="11" max="11"/>
    <col width="48" customWidth="1" min="12" max="12"/>
  </cols>
  <sheetData>
    <row r="1">
      <c r="A1" t="inlineStr">
        <is>
          <t>TEAM MANAGER GRAYJAY PRACTICE EXPORTER &amp; VIEWER</t>
        </is>
      </c>
      <c r="B1" s="1" t="inlineStr">
        <is>
          <t>TEAM MANAGER GRAYJAY PRACTICE IMPORT EXTRACTOR</t>
        </is>
      </c>
    </row>
    <row r="2">
      <c r="A2" t="inlineStr">
        <is>
          <t>Select your team in C4. Use the recommended 1-click web tool or the manual fallback below.</t>
        </is>
      </c>
      <c r="B2" s="2" t="inlineStr">
        <is>
          <t>Columns C through I match GrayJay's official Practice Import Template (Worksheet tab) 1-to-1.</t>
        </is>
      </c>
    </row>
    <row r="3">
      <c r="A3" t="inlineStr">
        <is>
          <t>🚀 RECOMMENDED (1-Click Exporter): Visit https://hockey.redmond.link/exporter.html to download your official GrayJay .xlsx file with zero manual typing!</t>
        </is>
      </c>
    </row>
    <row r="4">
      <c r="B4" s="15" t="inlineStr">
        <is>
          <t>Select Team:</t>
        </is>
      </c>
      <c r="C4" s="16" t="inlineStr">
        <is>
          <t>U13A</t>
        </is>
      </c>
      <c r="E4" s="15" t="inlineStr">
        <is>
          <t>Total Assigned Practices:</t>
        </is>
      </c>
      <c r="F4" s="17">
        <f>COUNTIF(Schedule_Slots_Data!$L$2:$L$50, C4)</f>
        <v/>
      </c>
      <c r="H4" s="15" t="inlineStr">
        <is>
          <t>How to Import into GrayJay:</t>
        </is>
      </c>
      <c r="I4" s="18" t="inlineStr">
        <is>
          <t>Highlight cells C7 to I10 -&gt; Copy (Ctrl+C) -&gt; Open GrayJay Template -&gt; Paste in A2 -&gt; Save &amp; Upload!</t>
        </is>
      </c>
    </row>
    <row r="6">
      <c r="B6" s="12" t="inlineStr">
        <is>
          <t>Slot #</t>
        </is>
      </c>
      <c r="C6" s="19" t="inlineStr">
        <is>
          <t>Event Title</t>
        </is>
      </c>
      <c r="D6" s="19" t="inlineStr">
        <is>
          <t>League + Team</t>
        </is>
      </c>
      <c r="E6" s="19" t="inlineStr">
        <is>
          <t>Date (YYYY-MM-DD)</t>
        </is>
      </c>
      <c r="F6" s="19" t="inlineStr">
        <is>
          <t>Start Time (HH:MM PM)</t>
        </is>
      </c>
      <c r="G6" s="19" t="inlineStr">
        <is>
          <t>End Time (HH:MM PM)</t>
        </is>
      </c>
      <c r="H6" s="19" t="inlineStr">
        <is>
          <t>Venue</t>
        </is>
      </c>
      <c r="I6" s="19" t="inlineStr">
        <is>
          <t>Full Ice / Half Ice</t>
        </is>
      </c>
      <c r="J6" s="12" t="inlineStr">
        <is>
          <t>Duration (Min)</t>
        </is>
      </c>
      <c r="K6" s="12" t="inlineStr">
        <is>
          <t>Notes / Instructions</t>
        </is>
      </c>
      <c r="L6" s="12" t="inlineStr">
        <is>
          <t>Pre-Formatted GrayJay CSV Line</t>
        </is>
      </c>
    </row>
    <row r="7">
      <c r="B7" s="9" t="n">
        <v>1</v>
      </c>
      <c r="C7" s="9">
        <f>IFERROR(INDEX(Schedule_Slots_Data!$N$2:$N$50, MATCH(1, Schedule_Slots_Data!$Q$2:$Q$50, 0)), "")</f>
        <v/>
      </c>
      <c r="D7" s="9">
        <f>IF(C7="","", $C$4)</f>
        <v/>
      </c>
      <c r="E7" s="9">
        <f>IFERROR(INDEX(Schedule_Slots_Data!$D$2:$D$50, MATCH(1, Schedule_Slots_Data!$Q$2:$Q$50, 0)), "")</f>
        <v/>
      </c>
      <c r="F7" s="9">
        <f>IFERROR(INDEX(Schedule_Slots_Data!$F$2:$F$50, MATCH(1, Schedule_Slots_Data!$Q$2:$Q$50, 0)), "")</f>
        <v/>
      </c>
      <c r="G7" s="9">
        <f>IFERROR(INDEX(Schedule_Slots_Data!$G$2:$G$50, MATCH(1, Schedule_Slots_Data!$Q$2:$Q$50, 0)), "")</f>
        <v/>
      </c>
      <c r="H7" s="20">
        <f>IFERROR(INDEX(Schedule_Slots_Data!$K$2:$K$50, MATCH(1, Schedule_Slots_Data!$Q$2:$Q$50, 0)), "")</f>
        <v/>
      </c>
      <c r="I7" s="9">
        <f>IFERROR(INDEX(Schedule_Slots_Data!$O$2:$O$50, MATCH(1, Schedule_Slots_Data!$Q$2:$Q$50, 0)), "")</f>
        <v/>
      </c>
      <c r="J7" s="9">
        <f>IFERROR(INDEX(Schedule_Slots_Data!$H$2:$H$50, MATCH(1, Schedule_Slots_Data!$Q$2:$Q$50, 0)), "")</f>
        <v/>
      </c>
      <c r="K7" s="20">
        <f>IFERROR(INDEX(Schedule_Slots_Data!$P$2:$P$50, MATCH(1, Schedule_Slots_Data!$Q$2:$Q$50, 0)), "")</f>
        <v/>
      </c>
      <c r="L7" s="21">
        <f>IF(C7="","", C7 &amp; "," &amp; D7 &amp; "," &amp; E7 &amp; "," &amp; F7 &amp; "," &amp; G7 &amp; ",""" &amp; H7 &amp; """," &amp; I7)</f>
        <v/>
      </c>
    </row>
    <row r="8">
      <c r="B8" s="9" t="n">
        <v>2</v>
      </c>
      <c r="C8" s="9">
        <f>IFERROR(INDEX(Schedule_Slots_Data!$N$2:$N$50, MATCH(2, Schedule_Slots_Data!$Q$2:$Q$50, 0)), "")</f>
        <v/>
      </c>
      <c r="D8" s="9">
        <f>IF(C8="","", $C$4)</f>
        <v/>
      </c>
      <c r="E8" s="9">
        <f>IFERROR(INDEX(Schedule_Slots_Data!$D$2:$D$50, MATCH(2, Schedule_Slots_Data!$Q$2:$Q$50, 0)), "")</f>
        <v/>
      </c>
      <c r="F8" s="9">
        <f>IFERROR(INDEX(Schedule_Slots_Data!$F$2:$F$50, MATCH(2, Schedule_Slots_Data!$Q$2:$Q$50, 0)), "")</f>
        <v/>
      </c>
      <c r="G8" s="9">
        <f>IFERROR(INDEX(Schedule_Slots_Data!$G$2:$G$50, MATCH(2, Schedule_Slots_Data!$Q$2:$Q$50, 0)), "")</f>
        <v/>
      </c>
      <c r="H8" s="20">
        <f>IFERROR(INDEX(Schedule_Slots_Data!$K$2:$K$50, MATCH(2, Schedule_Slots_Data!$Q$2:$Q$50, 0)), "")</f>
        <v/>
      </c>
      <c r="I8" s="9">
        <f>IFERROR(INDEX(Schedule_Slots_Data!$O$2:$O$50, MATCH(2, Schedule_Slots_Data!$Q$2:$Q$50, 0)), "")</f>
        <v/>
      </c>
      <c r="J8" s="9">
        <f>IFERROR(INDEX(Schedule_Slots_Data!$H$2:$H$50, MATCH(2, Schedule_Slots_Data!$Q$2:$Q$50, 0)), "")</f>
        <v/>
      </c>
      <c r="K8" s="20">
        <f>IFERROR(INDEX(Schedule_Slots_Data!$P$2:$P$50, MATCH(2, Schedule_Slots_Data!$Q$2:$Q$50, 0)), "")</f>
        <v/>
      </c>
      <c r="L8" s="21">
        <f>IF(C8="","", C8 &amp; "," &amp; D8 &amp; "," &amp; E8 &amp; "," &amp; F8 &amp; "," &amp; G8 &amp; ",""" &amp; H8 &amp; """," &amp; I8)</f>
        <v/>
      </c>
    </row>
    <row r="9">
      <c r="B9" s="9" t="n">
        <v>3</v>
      </c>
      <c r="C9" s="9">
        <f>IFERROR(INDEX(Schedule_Slots_Data!$N$2:$N$50, MATCH(3, Schedule_Slots_Data!$Q$2:$Q$50, 0)), "")</f>
        <v/>
      </c>
      <c r="D9" s="9">
        <f>IF(C9="","", $C$4)</f>
        <v/>
      </c>
      <c r="E9" s="9">
        <f>IFERROR(INDEX(Schedule_Slots_Data!$D$2:$D$50, MATCH(3, Schedule_Slots_Data!$Q$2:$Q$50, 0)), "")</f>
        <v/>
      </c>
      <c r="F9" s="9">
        <f>IFERROR(INDEX(Schedule_Slots_Data!$F$2:$F$50, MATCH(3, Schedule_Slots_Data!$Q$2:$Q$50, 0)), "")</f>
        <v/>
      </c>
      <c r="G9" s="9">
        <f>IFERROR(INDEX(Schedule_Slots_Data!$G$2:$G$50, MATCH(3, Schedule_Slots_Data!$Q$2:$Q$50, 0)), "")</f>
        <v/>
      </c>
      <c r="H9" s="20">
        <f>IFERROR(INDEX(Schedule_Slots_Data!$K$2:$K$50, MATCH(3, Schedule_Slots_Data!$Q$2:$Q$50, 0)), "")</f>
        <v/>
      </c>
      <c r="I9" s="9">
        <f>IFERROR(INDEX(Schedule_Slots_Data!$O$2:$O$50, MATCH(3, Schedule_Slots_Data!$Q$2:$Q$50, 0)), "")</f>
        <v/>
      </c>
      <c r="J9" s="9">
        <f>IFERROR(INDEX(Schedule_Slots_Data!$H$2:$H$50, MATCH(3, Schedule_Slots_Data!$Q$2:$Q$50, 0)), "")</f>
        <v/>
      </c>
      <c r="K9" s="20">
        <f>IFERROR(INDEX(Schedule_Slots_Data!$P$2:$P$50, MATCH(3, Schedule_Slots_Data!$Q$2:$Q$50, 0)), "")</f>
        <v/>
      </c>
      <c r="L9" s="21">
        <f>IF(C9="","", C9 &amp; "," &amp; D9 &amp; "," &amp; E9 &amp; "," &amp; F9 &amp; "," &amp; G9 &amp; ",""" &amp; H9 &amp; """," &amp; I9)</f>
        <v/>
      </c>
    </row>
    <row r="10">
      <c r="B10" s="9" t="n">
        <v>4</v>
      </c>
      <c r="C10" s="9">
        <f>IFERROR(INDEX(Schedule_Slots_Data!$N$2:$N$50, MATCH(4, Schedule_Slots_Data!$Q$2:$Q$50, 0)), "")</f>
        <v/>
      </c>
      <c r="D10" s="9">
        <f>IF(C10="","", $C$4)</f>
        <v/>
      </c>
      <c r="E10" s="9">
        <f>IFERROR(INDEX(Schedule_Slots_Data!$D$2:$D$50, MATCH(4, Schedule_Slots_Data!$Q$2:$Q$50, 0)), "")</f>
        <v/>
      </c>
      <c r="F10" s="9">
        <f>IFERROR(INDEX(Schedule_Slots_Data!$F$2:$F$50, MATCH(4, Schedule_Slots_Data!$Q$2:$Q$50, 0)), "")</f>
        <v/>
      </c>
      <c r="G10" s="9">
        <f>IFERROR(INDEX(Schedule_Slots_Data!$G$2:$G$50, MATCH(4, Schedule_Slots_Data!$Q$2:$Q$50, 0)), "")</f>
        <v/>
      </c>
      <c r="H10" s="20">
        <f>IFERROR(INDEX(Schedule_Slots_Data!$K$2:$K$50, MATCH(4, Schedule_Slots_Data!$Q$2:$Q$50, 0)), "")</f>
        <v/>
      </c>
      <c r="I10" s="9">
        <f>IFERROR(INDEX(Schedule_Slots_Data!$O$2:$O$50, MATCH(4, Schedule_Slots_Data!$Q$2:$Q$50, 0)), "")</f>
        <v/>
      </c>
      <c r="J10" s="9">
        <f>IFERROR(INDEX(Schedule_Slots_Data!$H$2:$H$50, MATCH(4, Schedule_Slots_Data!$Q$2:$Q$50, 0)), "")</f>
        <v/>
      </c>
      <c r="K10" s="20">
        <f>IFERROR(INDEX(Schedule_Slots_Data!$P$2:$P$50, MATCH(4, Schedule_Slots_Data!$Q$2:$Q$50, 0)), "")</f>
        <v/>
      </c>
      <c r="L10" s="21">
        <f>IF(C10="","", C10 &amp; "," &amp; D10 &amp; "," &amp; E10 &amp; "," &amp; F10 &amp; "," &amp; G10 &amp; ",""" &amp; H10 &amp; """," &amp; I10)</f>
        <v/>
      </c>
    </row>
    <row r="11">
      <c r="B11" s="9" t="n">
        <v>5</v>
      </c>
      <c r="C11" s="9">
        <f>IFERROR(INDEX(Schedule_Slots_Data!$N$2:$N$50, MATCH(5, Schedule_Slots_Data!$Q$2:$Q$50, 0)), "")</f>
        <v/>
      </c>
      <c r="D11" s="9">
        <f>IF(C11="","", $C$4)</f>
        <v/>
      </c>
      <c r="E11" s="9">
        <f>IFERROR(INDEX(Schedule_Slots_Data!$D$2:$D$50, MATCH(5, Schedule_Slots_Data!$Q$2:$Q$50, 0)), "")</f>
        <v/>
      </c>
      <c r="F11" s="9">
        <f>IFERROR(INDEX(Schedule_Slots_Data!$F$2:$F$50, MATCH(5, Schedule_Slots_Data!$Q$2:$Q$50, 0)), "")</f>
        <v/>
      </c>
      <c r="G11" s="9">
        <f>IFERROR(INDEX(Schedule_Slots_Data!$G$2:$G$50, MATCH(5, Schedule_Slots_Data!$Q$2:$Q$50, 0)), "")</f>
        <v/>
      </c>
      <c r="H11" s="20">
        <f>IFERROR(INDEX(Schedule_Slots_Data!$K$2:$K$50, MATCH(5, Schedule_Slots_Data!$Q$2:$Q$50, 0)), "")</f>
        <v/>
      </c>
      <c r="I11" s="9">
        <f>IFERROR(INDEX(Schedule_Slots_Data!$O$2:$O$50, MATCH(5, Schedule_Slots_Data!$Q$2:$Q$50, 0)), "")</f>
        <v/>
      </c>
      <c r="J11" s="9">
        <f>IFERROR(INDEX(Schedule_Slots_Data!$H$2:$H$50, MATCH(5, Schedule_Slots_Data!$Q$2:$Q$50, 0)), "")</f>
        <v/>
      </c>
      <c r="K11" s="20">
        <f>IFERROR(INDEX(Schedule_Slots_Data!$P$2:$P$50, MATCH(5, Schedule_Slots_Data!$Q$2:$Q$50, 0)), "")</f>
        <v/>
      </c>
      <c r="L11" s="21">
        <f>IF(C11="","", C11 &amp; "," &amp; D11 &amp; "," &amp; E11 &amp; "," &amp; F11 &amp; "," &amp; G11 &amp; ",""" &amp; H11 &amp; """," &amp; I11)</f>
        <v/>
      </c>
    </row>
    <row r="12">
      <c r="B12" s="9" t="n">
        <v>6</v>
      </c>
      <c r="C12" s="9">
        <f>IFERROR(INDEX(Schedule_Slots_Data!$N$2:$N$50, MATCH(6, Schedule_Slots_Data!$Q$2:$Q$50, 0)), "")</f>
        <v/>
      </c>
      <c r="D12" s="9">
        <f>IF(C12="","", $C$4)</f>
        <v/>
      </c>
      <c r="E12" s="9">
        <f>IFERROR(INDEX(Schedule_Slots_Data!$D$2:$D$50, MATCH(6, Schedule_Slots_Data!$Q$2:$Q$50, 0)), "")</f>
        <v/>
      </c>
      <c r="F12" s="9">
        <f>IFERROR(INDEX(Schedule_Slots_Data!$F$2:$F$50, MATCH(6, Schedule_Slots_Data!$Q$2:$Q$50, 0)), "")</f>
        <v/>
      </c>
      <c r="G12" s="9">
        <f>IFERROR(INDEX(Schedule_Slots_Data!$G$2:$G$50, MATCH(6, Schedule_Slots_Data!$Q$2:$Q$50, 0)), "")</f>
        <v/>
      </c>
      <c r="H12" s="20">
        <f>IFERROR(INDEX(Schedule_Slots_Data!$K$2:$K$50, MATCH(6, Schedule_Slots_Data!$Q$2:$Q$50, 0)), "")</f>
        <v/>
      </c>
      <c r="I12" s="9">
        <f>IFERROR(INDEX(Schedule_Slots_Data!$O$2:$O$50, MATCH(6, Schedule_Slots_Data!$Q$2:$Q$50, 0)), "")</f>
        <v/>
      </c>
      <c r="J12" s="9">
        <f>IFERROR(INDEX(Schedule_Slots_Data!$H$2:$H$50, MATCH(6, Schedule_Slots_Data!$Q$2:$Q$50, 0)), "")</f>
        <v/>
      </c>
      <c r="K12" s="20">
        <f>IFERROR(INDEX(Schedule_Slots_Data!$P$2:$P$50, MATCH(6, Schedule_Slots_Data!$Q$2:$Q$50, 0)), "")</f>
        <v/>
      </c>
      <c r="L12" s="21">
        <f>IF(C12="","", C12 &amp; "," &amp; D12 &amp; "," &amp; E12 &amp; "," &amp; F12 &amp; "," &amp; G12 &amp; ",""" &amp; H12 &amp; """," &amp; I12)</f>
        <v/>
      </c>
    </row>
    <row r="13">
      <c r="B13" s="9" t="n">
        <v>7</v>
      </c>
      <c r="C13" s="9">
        <f>IFERROR(INDEX(Schedule_Slots_Data!$N$2:$N$50, MATCH(7, Schedule_Slots_Data!$Q$2:$Q$50, 0)), "")</f>
        <v/>
      </c>
      <c r="D13" s="9">
        <f>IF(C13="","", $C$4)</f>
        <v/>
      </c>
      <c r="E13" s="9">
        <f>IFERROR(INDEX(Schedule_Slots_Data!$D$2:$D$50, MATCH(7, Schedule_Slots_Data!$Q$2:$Q$50, 0)), "")</f>
        <v/>
      </c>
      <c r="F13" s="9">
        <f>IFERROR(INDEX(Schedule_Slots_Data!$F$2:$F$50, MATCH(7, Schedule_Slots_Data!$Q$2:$Q$50, 0)), "")</f>
        <v/>
      </c>
      <c r="G13" s="9">
        <f>IFERROR(INDEX(Schedule_Slots_Data!$G$2:$G$50, MATCH(7, Schedule_Slots_Data!$Q$2:$Q$50, 0)), "")</f>
        <v/>
      </c>
      <c r="H13" s="20">
        <f>IFERROR(INDEX(Schedule_Slots_Data!$K$2:$K$50, MATCH(7, Schedule_Slots_Data!$Q$2:$Q$50, 0)), "")</f>
        <v/>
      </c>
      <c r="I13" s="9">
        <f>IFERROR(INDEX(Schedule_Slots_Data!$O$2:$O$50, MATCH(7, Schedule_Slots_Data!$Q$2:$Q$50, 0)), "")</f>
        <v/>
      </c>
      <c r="J13" s="9">
        <f>IFERROR(INDEX(Schedule_Slots_Data!$H$2:$H$50, MATCH(7, Schedule_Slots_Data!$Q$2:$Q$50, 0)), "")</f>
        <v/>
      </c>
      <c r="K13" s="20">
        <f>IFERROR(INDEX(Schedule_Slots_Data!$P$2:$P$50, MATCH(7, Schedule_Slots_Data!$Q$2:$Q$50, 0)), "")</f>
        <v/>
      </c>
      <c r="L13" s="21">
        <f>IF(C13="","", C13 &amp; "," &amp; D13 &amp; "," &amp; E13 &amp; "," &amp; F13 &amp; "," &amp; G13 &amp; ",""" &amp; H13 &amp; """," &amp; I13)</f>
        <v/>
      </c>
    </row>
    <row r="14">
      <c r="B14" s="9" t="n">
        <v>8</v>
      </c>
      <c r="C14" s="9">
        <f>IFERROR(INDEX(Schedule_Slots_Data!$N$2:$N$50, MATCH(8, Schedule_Slots_Data!$Q$2:$Q$50, 0)), "")</f>
        <v/>
      </c>
      <c r="D14" s="9">
        <f>IF(C14="","", $C$4)</f>
        <v/>
      </c>
      <c r="E14" s="9">
        <f>IFERROR(INDEX(Schedule_Slots_Data!$D$2:$D$50, MATCH(8, Schedule_Slots_Data!$Q$2:$Q$50, 0)), "")</f>
        <v/>
      </c>
      <c r="F14" s="9">
        <f>IFERROR(INDEX(Schedule_Slots_Data!$F$2:$F$50, MATCH(8, Schedule_Slots_Data!$Q$2:$Q$50, 0)), "")</f>
        <v/>
      </c>
      <c r="G14" s="9">
        <f>IFERROR(INDEX(Schedule_Slots_Data!$G$2:$G$50, MATCH(8, Schedule_Slots_Data!$Q$2:$Q$50, 0)), "")</f>
        <v/>
      </c>
      <c r="H14" s="20">
        <f>IFERROR(INDEX(Schedule_Slots_Data!$K$2:$K$50, MATCH(8, Schedule_Slots_Data!$Q$2:$Q$50, 0)), "")</f>
        <v/>
      </c>
      <c r="I14" s="9">
        <f>IFERROR(INDEX(Schedule_Slots_Data!$O$2:$O$50, MATCH(8, Schedule_Slots_Data!$Q$2:$Q$50, 0)), "")</f>
        <v/>
      </c>
      <c r="J14" s="9">
        <f>IFERROR(INDEX(Schedule_Slots_Data!$H$2:$H$50, MATCH(8, Schedule_Slots_Data!$Q$2:$Q$50, 0)), "")</f>
        <v/>
      </c>
      <c r="K14" s="20">
        <f>IFERROR(INDEX(Schedule_Slots_Data!$P$2:$P$50, MATCH(8, Schedule_Slots_Data!$Q$2:$Q$50, 0)), "")</f>
        <v/>
      </c>
      <c r="L14" s="21">
        <f>IF(C14="","", C14 &amp; "," &amp; D14 &amp; "," &amp; E14 &amp; "," &amp; F14 &amp; "," &amp; G14 &amp; ",""" &amp; H14 &amp; """," &amp; I14)</f>
        <v/>
      </c>
    </row>
    <row r="15">
      <c r="B15" s="9" t="n">
        <v>9</v>
      </c>
      <c r="C15" s="9">
        <f>IFERROR(INDEX(Schedule_Slots_Data!$N$2:$N$50, MATCH(9, Schedule_Slots_Data!$Q$2:$Q$50, 0)), "")</f>
        <v/>
      </c>
      <c r="D15" s="9">
        <f>IF(C15="","", $C$4)</f>
        <v/>
      </c>
      <c r="E15" s="9">
        <f>IFERROR(INDEX(Schedule_Slots_Data!$D$2:$D$50, MATCH(9, Schedule_Slots_Data!$Q$2:$Q$50, 0)), "")</f>
        <v/>
      </c>
      <c r="F15" s="9">
        <f>IFERROR(INDEX(Schedule_Slots_Data!$F$2:$F$50, MATCH(9, Schedule_Slots_Data!$Q$2:$Q$50, 0)), "")</f>
        <v/>
      </c>
      <c r="G15" s="9">
        <f>IFERROR(INDEX(Schedule_Slots_Data!$G$2:$G$50, MATCH(9, Schedule_Slots_Data!$Q$2:$Q$50, 0)), "")</f>
        <v/>
      </c>
      <c r="H15" s="20">
        <f>IFERROR(INDEX(Schedule_Slots_Data!$K$2:$K$50, MATCH(9, Schedule_Slots_Data!$Q$2:$Q$50, 0)), "")</f>
        <v/>
      </c>
      <c r="I15" s="9">
        <f>IFERROR(INDEX(Schedule_Slots_Data!$O$2:$O$50, MATCH(9, Schedule_Slots_Data!$Q$2:$Q$50, 0)), "")</f>
        <v/>
      </c>
      <c r="J15" s="9">
        <f>IFERROR(INDEX(Schedule_Slots_Data!$H$2:$H$50, MATCH(9, Schedule_Slots_Data!$Q$2:$Q$50, 0)), "")</f>
        <v/>
      </c>
      <c r="K15" s="20">
        <f>IFERROR(INDEX(Schedule_Slots_Data!$P$2:$P$50, MATCH(9, Schedule_Slots_Data!$Q$2:$Q$50, 0)), "")</f>
        <v/>
      </c>
      <c r="L15" s="21">
        <f>IF(C15="","", C15 &amp; "," &amp; D15 &amp; "," &amp; E15 &amp; "," &amp; F15 &amp; "," &amp; G15 &amp; ",""" &amp; H15 &amp; """," &amp; I15)</f>
        <v/>
      </c>
    </row>
    <row r="16">
      <c r="B16" s="9" t="n">
        <v>10</v>
      </c>
      <c r="C16" s="9">
        <f>IFERROR(INDEX(Schedule_Slots_Data!$N$2:$N$50, MATCH(10, Schedule_Slots_Data!$Q$2:$Q$50, 0)), "")</f>
        <v/>
      </c>
      <c r="D16" s="9">
        <f>IF(C16="","", $C$4)</f>
        <v/>
      </c>
      <c r="E16" s="9">
        <f>IFERROR(INDEX(Schedule_Slots_Data!$D$2:$D$50, MATCH(10, Schedule_Slots_Data!$Q$2:$Q$50, 0)), "")</f>
        <v/>
      </c>
      <c r="F16" s="9">
        <f>IFERROR(INDEX(Schedule_Slots_Data!$F$2:$F$50, MATCH(10, Schedule_Slots_Data!$Q$2:$Q$50, 0)), "")</f>
        <v/>
      </c>
      <c r="G16" s="9">
        <f>IFERROR(INDEX(Schedule_Slots_Data!$G$2:$G$50, MATCH(10, Schedule_Slots_Data!$Q$2:$Q$50, 0)), "")</f>
        <v/>
      </c>
      <c r="H16" s="20">
        <f>IFERROR(INDEX(Schedule_Slots_Data!$K$2:$K$50, MATCH(10, Schedule_Slots_Data!$Q$2:$Q$50, 0)), "")</f>
        <v/>
      </c>
      <c r="I16" s="9">
        <f>IFERROR(INDEX(Schedule_Slots_Data!$O$2:$O$50, MATCH(10, Schedule_Slots_Data!$Q$2:$Q$50, 0)), "")</f>
        <v/>
      </c>
      <c r="J16" s="9">
        <f>IFERROR(INDEX(Schedule_Slots_Data!$H$2:$H$50, MATCH(10, Schedule_Slots_Data!$Q$2:$Q$50, 0)), "")</f>
        <v/>
      </c>
      <c r="K16" s="20">
        <f>IFERROR(INDEX(Schedule_Slots_Data!$P$2:$P$50, MATCH(10, Schedule_Slots_Data!$Q$2:$Q$50, 0)), "")</f>
        <v/>
      </c>
      <c r="L16" s="21">
        <f>IF(C16="","", C16 &amp; "," &amp; D16 &amp; "," &amp; E16 &amp; "," &amp; F16 &amp; "," &amp; G16 &amp; ",""" &amp; H16 &amp; """," &amp; I16)</f>
        <v/>
      </c>
    </row>
    <row r="17">
      <c r="B17" s="9" t="n">
        <v>11</v>
      </c>
      <c r="C17" s="9">
        <f>IFERROR(INDEX(Schedule_Slots_Data!$N$2:$N$50, MATCH(11, Schedule_Slots_Data!$Q$2:$Q$50, 0)), "")</f>
        <v/>
      </c>
      <c r="D17" s="9">
        <f>IF(C17="","", $C$4)</f>
        <v/>
      </c>
      <c r="E17" s="9">
        <f>IFERROR(INDEX(Schedule_Slots_Data!$D$2:$D$50, MATCH(11, Schedule_Slots_Data!$Q$2:$Q$50, 0)), "")</f>
        <v/>
      </c>
      <c r="F17" s="9">
        <f>IFERROR(INDEX(Schedule_Slots_Data!$F$2:$F$50, MATCH(11, Schedule_Slots_Data!$Q$2:$Q$50, 0)), "")</f>
        <v/>
      </c>
      <c r="G17" s="9">
        <f>IFERROR(INDEX(Schedule_Slots_Data!$G$2:$G$50, MATCH(11, Schedule_Slots_Data!$Q$2:$Q$50, 0)), "")</f>
        <v/>
      </c>
      <c r="H17" s="20">
        <f>IFERROR(INDEX(Schedule_Slots_Data!$K$2:$K$50, MATCH(11, Schedule_Slots_Data!$Q$2:$Q$50, 0)), "")</f>
        <v/>
      </c>
      <c r="I17" s="9">
        <f>IFERROR(INDEX(Schedule_Slots_Data!$O$2:$O$50, MATCH(11, Schedule_Slots_Data!$Q$2:$Q$50, 0)), "")</f>
        <v/>
      </c>
      <c r="J17" s="9">
        <f>IFERROR(INDEX(Schedule_Slots_Data!$H$2:$H$50, MATCH(11, Schedule_Slots_Data!$Q$2:$Q$50, 0)), "")</f>
        <v/>
      </c>
      <c r="K17" s="20">
        <f>IFERROR(INDEX(Schedule_Slots_Data!$P$2:$P$50, MATCH(11, Schedule_Slots_Data!$Q$2:$Q$50, 0)), "")</f>
        <v/>
      </c>
      <c r="L17" s="21">
        <f>IF(C17="","", C17 &amp; "," &amp; D17 &amp; "," &amp; E17 &amp; "," &amp; F17 &amp; "," &amp; G17 &amp; ",""" &amp; H17 &amp; """," &amp; I17)</f>
        <v/>
      </c>
    </row>
    <row r="18">
      <c r="B18" s="9" t="n">
        <v>12</v>
      </c>
      <c r="C18" s="9">
        <f>IFERROR(INDEX(Schedule_Slots_Data!$N$2:$N$50, MATCH(12, Schedule_Slots_Data!$Q$2:$Q$50, 0)), "")</f>
        <v/>
      </c>
      <c r="D18" s="9">
        <f>IF(C18="","", $C$4)</f>
        <v/>
      </c>
      <c r="E18" s="9">
        <f>IFERROR(INDEX(Schedule_Slots_Data!$D$2:$D$50, MATCH(12, Schedule_Slots_Data!$Q$2:$Q$50, 0)), "")</f>
        <v/>
      </c>
      <c r="F18" s="9">
        <f>IFERROR(INDEX(Schedule_Slots_Data!$F$2:$F$50, MATCH(12, Schedule_Slots_Data!$Q$2:$Q$50, 0)), "")</f>
        <v/>
      </c>
      <c r="G18" s="9">
        <f>IFERROR(INDEX(Schedule_Slots_Data!$G$2:$G$50, MATCH(12, Schedule_Slots_Data!$Q$2:$Q$50, 0)), "")</f>
        <v/>
      </c>
      <c r="H18" s="20">
        <f>IFERROR(INDEX(Schedule_Slots_Data!$K$2:$K$50, MATCH(12, Schedule_Slots_Data!$Q$2:$Q$50, 0)), "")</f>
        <v/>
      </c>
      <c r="I18" s="9">
        <f>IFERROR(INDEX(Schedule_Slots_Data!$O$2:$O$50, MATCH(12, Schedule_Slots_Data!$Q$2:$Q$50, 0)), "")</f>
        <v/>
      </c>
      <c r="J18" s="9">
        <f>IFERROR(INDEX(Schedule_Slots_Data!$H$2:$H$50, MATCH(12, Schedule_Slots_Data!$Q$2:$Q$50, 0)), "")</f>
        <v/>
      </c>
      <c r="K18" s="20">
        <f>IFERROR(INDEX(Schedule_Slots_Data!$P$2:$P$50, MATCH(12, Schedule_Slots_Data!$Q$2:$Q$50, 0)), "")</f>
        <v/>
      </c>
      <c r="L18" s="21">
        <f>IF(C18="","", C18 &amp; "," &amp; D18 &amp; "," &amp; E18 &amp; "," &amp; F18 &amp; "," &amp; G18 &amp; ",""" &amp; H18 &amp; """," &amp; I18)</f>
        <v/>
      </c>
    </row>
    <row r="19">
      <c r="B19" s="9" t="n">
        <v>13</v>
      </c>
      <c r="C19" s="9">
        <f>IFERROR(INDEX(Schedule_Slots_Data!$N$2:$N$50, MATCH(13, Schedule_Slots_Data!$Q$2:$Q$50, 0)), "")</f>
        <v/>
      </c>
      <c r="D19" s="9">
        <f>IF(C19="","", $C$4)</f>
        <v/>
      </c>
      <c r="E19" s="9">
        <f>IFERROR(INDEX(Schedule_Slots_Data!$D$2:$D$50, MATCH(13, Schedule_Slots_Data!$Q$2:$Q$50, 0)), "")</f>
        <v/>
      </c>
      <c r="F19" s="9">
        <f>IFERROR(INDEX(Schedule_Slots_Data!$F$2:$F$50, MATCH(13, Schedule_Slots_Data!$Q$2:$Q$50, 0)), "")</f>
        <v/>
      </c>
      <c r="G19" s="9">
        <f>IFERROR(INDEX(Schedule_Slots_Data!$G$2:$G$50, MATCH(13, Schedule_Slots_Data!$Q$2:$Q$50, 0)), "")</f>
        <v/>
      </c>
      <c r="H19" s="20">
        <f>IFERROR(INDEX(Schedule_Slots_Data!$K$2:$K$50, MATCH(13, Schedule_Slots_Data!$Q$2:$Q$50, 0)), "")</f>
        <v/>
      </c>
      <c r="I19" s="9">
        <f>IFERROR(INDEX(Schedule_Slots_Data!$O$2:$O$50, MATCH(13, Schedule_Slots_Data!$Q$2:$Q$50, 0)), "")</f>
        <v/>
      </c>
      <c r="J19" s="9">
        <f>IFERROR(INDEX(Schedule_Slots_Data!$H$2:$H$50, MATCH(13, Schedule_Slots_Data!$Q$2:$Q$50, 0)), "")</f>
        <v/>
      </c>
      <c r="K19" s="20">
        <f>IFERROR(INDEX(Schedule_Slots_Data!$P$2:$P$50, MATCH(13, Schedule_Slots_Data!$Q$2:$Q$50, 0)), "")</f>
        <v/>
      </c>
      <c r="L19" s="21">
        <f>IF(C19="","", C19 &amp; "," &amp; D19 &amp; "," &amp; E19 &amp; "," &amp; F19 &amp; "," &amp; G19 &amp; ",""" &amp; H19 &amp; """," &amp; I19)</f>
        <v/>
      </c>
    </row>
    <row r="20">
      <c r="B20" s="9" t="n">
        <v>14</v>
      </c>
      <c r="C20" s="9">
        <f>IFERROR(INDEX(Schedule_Slots_Data!$N$2:$N$50, MATCH(14, Schedule_Slots_Data!$Q$2:$Q$50, 0)), "")</f>
        <v/>
      </c>
      <c r="D20" s="9">
        <f>IF(C20="","", $C$4)</f>
        <v/>
      </c>
      <c r="E20" s="9">
        <f>IFERROR(INDEX(Schedule_Slots_Data!$D$2:$D$50, MATCH(14, Schedule_Slots_Data!$Q$2:$Q$50, 0)), "")</f>
        <v/>
      </c>
      <c r="F20" s="9">
        <f>IFERROR(INDEX(Schedule_Slots_Data!$F$2:$F$50, MATCH(14, Schedule_Slots_Data!$Q$2:$Q$50, 0)), "")</f>
        <v/>
      </c>
      <c r="G20" s="9">
        <f>IFERROR(INDEX(Schedule_Slots_Data!$G$2:$G$50, MATCH(14, Schedule_Slots_Data!$Q$2:$Q$50, 0)), "")</f>
        <v/>
      </c>
      <c r="H20" s="20">
        <f>IFERROR(INDEX(Schedule_Slots_Data!$K$2:$K$50, MATCH(14, Schedule_Slots_Data!$Q$2:$Q$50, 0)), "")</f>
        <v/>
      </c>
      <c r="I20" s="9">
        <f>IFERROR(INDEX(Schedule_Slots_Data!$O$2:$O$50, MATCH(14, Schedule_Slots_Data!$Q$2:$Q$50, 0)), "")</f>
        <v/>
      </c>
      <c r="J20" s="9">
        <f>IFERROR(INDEX(Schedule_Slots_Data!$H$2:$H$50, MATCH(14, Schedule_Slots_Data!$Q$2:$Q$50, 0)), "")</f>
        <v/>
      </c>
      <c r="K20" s="20">
        <f>IFERROR(INDEX(Schedule_Slots_Data!$P$2:$P$50, MATCH(14, Schedule_Slots_Data!$Q$2:$Q$50, 0)), "")</f>
        <v/>
      </c>
      <c r="L20" s="21">
        <f>IF(C20="","", C20 &amp; "," &amp; D20 &amp; "," &amp; E20 &amp; "," &amp; F20 &amp; "," &amp; G20 &amp; ",""" &amp; H20 &amp; """," &amp; I20)</f>
        <v/>
      </c>
    </row>
    <row r="21">
      <c r="B21" s="9" t="n">
        <v>15</v>
      </c>
      <c r="C21" s="9">
        <f>IFERROR(INDEX(Schedule_Slots_Data!$N$2:$N$50, MATCH(15, Schedule_Slots_Data!$Q$2:$Q$50, 0)), "")</f>
        <v/>
      </c>
      <c r="D21" s="9">
        <f>IF(C21="","", $C$4)</f>
        <v/>
      </c>
      <c r="E21" s="9">
        <f>IFERROR(INDEX(Schedule_Slots_Data!$D$2:$D$50, MATCH(15, Schedule_Slots_Data!$Q$2:$Q$50, 0)), "")</f>
        <v/>
      </c>
      <c r="F21" s="9">
        <f>IFERROR(INDEX(Schedule_Slots_Data!$F$2:$F$50, MATCH(15, Schedule_Slots_Data!$Q$2:$Q$50, 0)), "")</f>
        <v/>
      </c>
      <c r="G21" s="9">
        <f>IFERROR(INDEX(Schedule_Slots_Data!$G$2:$G$50, MATCH(15, Schedule_Slots_Data!$Q$2:$Q$50, 0)), "")</f>
        <v/>
      </c>
      <c r="H21" s="20">
        <f>IFERROR(INDEX(Schedule_Slots_Data!$K$2:$K$50, MATCH(15, Schedule_Slots_Data!$Q$2:$Q$50, 0)), "")</f>
        <v/>
      </c>
      <c r="I21" s="9">
        <f>IFERROR(INDEX(Schedule_Slots_Data!$O$2:$O$50, MATCH(15, Schedule_Slots_Data!$Q$2:$Q$50, 0)), "")</f>
        <v/>
      </c>
      <c r="J21" s="9">
        <f>IFERROR(INDEX(Schedule_Slots_Data!$H$2:$H$50, MATCH(15, Schedule_Slots_Data!$Q$2:$Q$50, 0)), "")</f>
        <v/>
      </c>
      <c r="K21" s="20">
        <f>IFERROR(INDEX(Schedule_Slots_Data!$P$2:$P$50, MATCH(15, Schedule_Slots_Data!$Q$2:$Q$50, 0)), "")</f>
        <v/>
      </c>
      <c r="L21" s="21">
        <f>IF(C21="","", C21 &amp; "," &amp; D21 &amp; "," &amp; E21 &amp; "," &amp; F21 &amp; "," &amp; G21 &amp; ",""" &amp; H21 &amp; """," &amp; I21)</f>
        <v/>
      </c>
    </row>
    <row r="22">
      <c r="B22" s="9" t="n">
        <v>16</v>
      </c>
      <c r="C22" s="9">
        <f>IFERROR(INDEX(Schedule_Slots_Data!$N$2:$N$50, MATCH(16, Schedule_Slots_Data!$Q$2:$Q$50, 0)), "")</f>
        <v/>
      </c>
      <c r="D22" s="9">
        <f>IF(C22="","", $C$4)</f>
        <v/>
      </c>
      <c r="E22" s="9">
        <f>IFERROR(INDEX(Schedule_Slots_Data!$D$2:$D$50, MATCH(16, Schedule_Slots_Data!$Q$2:$Q$50, 0)), "")</f>
        <v/>
      </c>
      <c r="F22" s="9">
        <f>IFERROR(INDEX(Schedule_Slots_Data!$F$2:$F$50, MATCH(16, Schedule_Slots_Data!$Q$2:$Q$50, 0)), "")</f>
        <v/>
      </c>
      <c r="G22" s="9">
        <f>IFERROR(INDEX(Schedule_Slots_Data!$G$2:$G$50, MATCH(16, Schedule_Slots_Data!$Q$2:$Q$50, 0)), "")</f>
        <v/>
      </c>
      <c r="H22" s="20">
        <f>IFERROR(INDEX(Schedule_Slots_Data!$K$2:$K$50, MATCH(16, Schedule_Slots_Data!$Q$2:$Q$50, 0)), "")</f>
        <v/>
      </c>
      <c r="I22" s="9">
        <f>IFERROR(INDEX(Schedule_Slots_Data!$O$2:$O$50, MATCH(16, Schedule_Slots_Data!$Q$2:$Q$50, 0)), "")</f>
        <v/>
      </c>
      <c r="J22" s="9">
        <f>IFERROR(INDEX(Schedule_Slots_Data!$H$2:$H$50, MATCH(16, Schedule_Slots_Data!$Q$2:$Q$50, 0)), "")</f>
        <v/>
      </c>
      <c r="K22" s="20">
        <f>IFERROR(INDEX(Schedule_Slots_Data!$P$2:$P$50, MATCH(16, Schedule_Slots_Data!$Q$2:$Q$50, 0)), "")</f>
        <v/>
      </c>
      <c r="L22" s="21">
        <f>IF(C22="","", C22 &amp; "," &amp; D22 &amp; "," &amp; E22 &amp; "," &amp; F22 &amp; "," &amp; G22 &amp; ",""" &amp; H22 &amp; """," &amp; I22)</f>
        <v/>
      </c>
    </row>
    <row r="23">
      <c r="B23" s="9" t="n">
        <v>17</v>
      </c>
      <c r="C23" s="9">
        <f>IFERROR(INDEX(Schedule_Slots_Data!$N$2:$N$50, MATCH(17, Schedule_Slots_Data!$Q$2:$Q$50, 0)), "")</f>
        <v/>
      </c>
      <c r="D23" s="9">
        <f>IF(C23="","", $C$4)</f>
        <v/>
      </c>
      <c r="E23" s="9">
        <f>IFERROR(INDEX(Schedule_Slots_Data!$D$2:$D$50, MATCH(17, Schedule_Slots_Data!$Q$2:$Q$50, 0)), "")</f>
        <v/>
      </c>
      <c r="F23" s="9">
        <f>IFERROR(INDEX(Schedule_Slots_Data!$F$2:$F$50, MATCH(17, Schedule_Slots_Data!$Q$2:$Q$50, 0)), "")</f>
        <v/>
      </c>
      <c r="G23" s="9">
        <f>IFERROR(INDEX(Schedule_Slots_Data!$G$2:$G$50, MATCH(17, Schedule_Slots_Data!$Q$2:$Q$50, 0)), "")</f>
        <v/>
      </c>
      <c r="H23" s="20">
        <f>IFERROR(INDEX(Schedule_Slots_Data!$K$2:$K$50, MATCH(17, Schedule_Slots_Data!$Q$2:$Q$50, 0)), "")</f>
        <v/>
      </c>
      <c r="I23" s="9">
        <f>IFERROR(INDEX(Schedule_Slots_Data!$O$2:$O$50, MATCH(17, Schedule_Slots_Data!$Q$2:$Q$50, 0)), "")</f>
        <v/>
      </c>
      <c r="J23" s="9">
        <f>IFERROR(INDEX(Schedule_Slots_Data!$H$2:$H$50, MATCH(17, Schedule_Slots_Data!$Q$2:$Q$50, 0)), "")</f>
        <v/>
      </c>
      <c r="K23" s="20">
        <f>IFERROR(INDEX(Schedule_Slots_Data!$P$2:$P$50, MATCH(17, Schedule_Slots_Data!$Q$2:$Q$50, 0)), "")</f>
        <v/>
      </c>
      <c r="L23" s="21">
        <f>IF(C23="","", C23 &amp; "," &amp; D23 &amp; "," &amp; E23 &amp; "," &amp; F23 &amp; "," &amp; G23 &amp; ",""" &amp; H23 &amp; """," &amp; I23)</f>
        <v/>
      </c>
    </row>
    <row r="24">
      <c r="B24" s="9" t="n">
        <v>18</v>
      </c>
      <c r="C24" s="9">
        <f>IFERROR(INDEX(Schedule_Slots_Data!$N$2:$N$50, MATCH(18, Schedule_Slots_Data!$Q$2:$Q$50, 0)), "")</f>
        <v/>
      </c>
      <c r="D24" s="9">
        <f>IF(C24="","", $C$4)</f>
        <v/>
      </c>
      <c r="E24" s="9">
        <f>IFERROR(INDEX(Schedule_Slots_Data!$D$2:$D$50, MATCH(18, Schedule_Slots_Data!$Q$2:$Q$50, 0)), "")</f>
        <v/>
      </c>
      <c r="F24" s="9">
        <f>IFERROR(INDEX(Schedule_Slots_Data!$F$2:$F$50, MATCH(18, Schedule_Slots_Data!$Q$2:$Q$50, 0)), "")</f>
        <v/>
      </c>
      <c r="G24" s="9">
        <f>IFERROR(INDEX(Schedule_Slots_Data!$G$2:$G$50, MATCH(18, Schedule_Slots_Data!$Q$2:$Q$50, 0)), "")</f>
        <v/>
      </c>
      <c r="H24" s="20">
        <f>IFERROR(INDEX(Schedule_Slots_Data!$K$2:$K$50, MATCH(18, Schedule_Slots_Data!$Q$2:$Q$50, 0)), "")</f>
        <v/>
      </c>
      <c r="I24" s="9">
        <f>IFERROR(INDEX(Schedule_Slots_Data!$O$2:$O$50, MATCH(18, Schedule_Slots_Data!$Q$2:$Q$50, 0)), "")</f>
        <v/>
      </c>
      <c r="J24" s="9">
        <f>IFERROR(INDEX(Schedule_Slots_Data!$H$2:$H$50, MATCH(18, Schedule_Slots_Data!$Q$2:$Q$50, 0)), "")</f>
        <v/>
      </c>
      <c r="K24" s="20">
        <f>IFERROR(INDEX(Schedule_Slots_Data!$P$2:$P$50, MATCH(18, Schedule_Slots_Data!$Q$2:$Q$50, 0)), "")</f>
        <v/>
      </c>
      <c r="L24" s="21">
        <f>IF(C24="","", C24 &amp; "," &amp; D24 &amp; "," &amp; E24 &amp; "," &amp; F24 &amp; "," &amp; G24 &amp; ",""" &amp; H24 &amp; """," &amp; I24)</f>
        <v/>
      </c>
    </row>
    <row r="25">
      <c r="B25" s="9" t="n">
        <v>19</v>
      </c>
      <c r="C25" s="9">
        <f>IFERROR(INDEX(Schedule_Slots_Data!$N$2:$N$50, MATCH(19, Schedule_Slots_Data!$Q$2:$Q$50, 0)), "")</f>
        <v/>
      </c>
      <c r="D25" s="9">
        <f>IF(C25="","", $C$4)</f>
        <v/>
      </c>
      <c r="E25" s="9">
        <f>IFERROR(INDEX(Schedule_Slots_Data!$D$2:$D$50, MATCH(19, Schedule_Slots_Data!$Q$2:$Q$50, 0)), "")</f>
        <v/>
      </c>
      <c r="F25" s="9">
        <f>IFERROR(INDEX(Schedule_Slots_Data!$F$2:$F$50, MATCH(19, Schedule_Slots_Data!$Q$2:$Q$50, 0)), "")</f>
        <v/>
      </c>
      <c r="G25" s="9">
        <f>IFERROR(INDEX(Schedule_Slots_Data!$G$2:$G$50, MATCH(19, Schedule_Slots_Data!$Q$2:$Q$50, 0)), "")</f>
        <v/>
      </c>
      <c r="H25" s="20">
        <f>IFERROR(INDEX(Schedule_Slots_Data!$K$2:$K$50, MATCH(19, Schedule_Slots_Data!$Q$2:$Q$50, 0)), "")</f>
        <v/>
      </c>
      <c r="I25" s="9">
        <f>IFERROR(INDEX(Schedule_Slots_Data!$O$2:$O$50, MATCH(19, Schedule_Slots_Data!$Q$2:$Q$50, 0)), "")</f>
        <v/>
      </c>
      <c r="J25" s="9">
        <f>IFERROR(INDEX(Schedule_Slots_Data!$H$2:$H$50, MATCH(19, Schedule_Slots_Data!$Q$2:$Q$50, 0)), "")</f>
        <v/>
      </c>
      <c r="K25" s="20">
        <f>IFERROR(INDEX(Schedule_Slots_Data!$P$2:$P$50, MATCH(19, Schedule_Slots_Data!$Q$2:$Q$50, 0)), "")</f>
        <v/>
      </c>
      <c r="L25" s="21">
        <f>IF(C25="","", C25 &amp; "," &amp; D25 &amp; "," &amp; E25 &amp; "," &amp; F25 &amp; "," &amp; G25 &amp; ",""" &amp; H25 &amp; """," &amp; I25)</f>
        <v/>
      </c>
    </row>
    <row r="26">
      <c r="B26" s="9" t="n">
        <v>20</v>
      </c>
      <c r="C26" s="9">
        <f>IFERROR(INDEX(Schedule_Slots_Data!$N$2:$N$50, MATCH(20, Schedule_Slots_Data!$Q$2:$Q$50, 0)), "")</f>
        <v/>
      </c>
      <c r="D26" s="9">
        <f>IF(C26="","", $C$4)</f>
        <v/>
      </c>
      <c r="E26" s="9">
        <f>IFERROR(INDEX(Schedule_Slots_Data!$D$2:$D$50, MATCH(20, Schedule_Slots_Data!$Q$2:$Q$50, 0)), "")</f>
        <v/>
      </c>
      <c r="F26" s="9">
        <f>IFERROR(INDEX(Schedule_Slots_Data!$F$2:$F$50, MATCH(20, Schedule_Slots_Data!$Q$2:$Q$50, 0)), "")</f>
        <v/>
      </c>
      <c r="G26" s="9">
        <f>IFERROR(INDEX(Schedule_Slots_Data!$G$2:$G$50, MATCH(20, Schedule_Slots_Data!$Q$2:$Q$50, 0)), "")</f>
        <v/>
      </c>
      <c r="H26" s="20">
        <f>IFERROR(INDEX(Schedule_Slots_Data!$K$2:$K$50, MATCH(20, Schedule_Slots_Data!$Q$2:$Q$50, 0)), "")</f>
        <v/>
      </c>
      <c r="I26" s="9">
        <f>IFERROR(INDEX(Schedule_Slots_Data!$O$2:$O$50, MATCH(20, Schedule_Slots_Data!$Q$2:$Q$50, 0)), "")</f>
        <v/>
      </c>
      <c r="J26" s="9">
        <f>IFERROR(INDEX(Schedule_Slots_Data!$H$2:$H$50, MATCH(20, Schedule_Slots_Data!$Q$2:$Q$50, 0)), "")</f>
        <v/>
      </c>
      <c r="K26" s="20">
        <f>IFERROR(INDEX(Schedule_Slots_Data!$P$2:$P$50, MATCH(20, Schedule_Slots_Data!$Q$2:$Q$50, 0)), "")</f>
        <v/>
      </c>
      <c r="L26" s="21">
        <f>IF(C26="","", C26 &amp; "," &amp; D26 &amp; "," &amp; E26 &amp; "," &amp; F26 &amp; "," &amp; G26 &amp; ",""" &amp; H26 &amp; """," &amp; I26)</f>
        <v/>
      </c>
    </row>
    <row r="27"/>
    <row r="28"/>
    <row r="29"/>
    <row r="30"/>
    <row r="31"/>
    <row r="32"/>
    <row r="33"/>
    <row r="34"/>
  </sheetData>
  <dataValidations count="1">
    <dataValidation sqref="C4" showDropDown="0" showInputMessage="0" showErrorMessage="0" allowBlank="1" type="list">
      <formula1>"U11AAA","U11AA","U11A","U11B","U11C Bernard","U11C Team 2","U11C Team 3","U13AAA","U13AA","U13A","U13B","U13C Team 1","U13C Team 2","U15AA","U15A","U15B","U15C Team 1","U15C Team 2","U18AA","U18A","U18C Team 1","U18C Team 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8" customWidth="1" min="10" max="10"/>
    <col width="38" customWidth="1" min="11" max="11"/>
    <col width="18" customWidth="1" min="12" max="12"/>
    <col width="14" customWidth="1" min="13" max="13"/>
    <col width="20" customWidth="1" min="14" max="14"/>
    <col width="16" customWidth="1" min="15" max="15"/>
    <col width="30" customWidth="1" min="16" max="16"/>
    <col width="20" customWidth="1" min="17" max="17"/>
  </cols>
  <sheetData>
    <row r="1">
      <c r="A1" s="12" t="inlineStr">
        <is>
          <t>Slot ID</t>
        </is>
      </c>
      <c r="B1" s="12" t="inlineStr">
        <is>
          <t>Week</t>
        </is>
      </c>
      <c r="C1" s="12" t="inlineStr">
        <is>
          <t>Day</t>
        </is>
      </c>
      <c r="D1" s="12" t="inlineStr">
        <is>
          <t>Date</t>
        </is>
      </c>
      <c r="E1" s="12" t="inlineStr">
        <is>
          <t>Time Display</t>
        </is>
      </c>
      <c r="F1" s="12" t="inlineStr">
        <is>
          <t>Start Time (AM/PM)</t>
        </is>
      </c>
      <c r="G1" s="12" t="inlineStr">
        <is>
          <t>End Time (AM/PM)</t>
        </is>
      </c>
      <c r="H1" s="12" t="inlineStr">
        <is>
          <t>Duration (Min)</t>
        </is>
      </c>
      <c r="I1" s="12" t="inlineStr">
        <is>
          <t>Duration (Hrs)</t>
        </is>
      </c>
      <c r="J1" s="12" t="inlineStr">
        <is>
          <t>Facility Raw</t>
        </is>
      </c>
      <c r="K1" s="12" t="inlineStr">
        <is>
          <t>GrayJay Official Venue</t>
        </is>
      </c>
      <c r="L1" s="12" t="inlineStr">
        <is>
          <t>Clean Team</t>
        </is>
      </c>
      <c r="M1" s="12" t="inlineStr">
        <is>
          <t>Category</t>
        </is>
      </c>
      <c r="N1" s="12" t="inlineStr">
        <is>
          <t>Event Title (GrayJay)</t>
        </is>
      </c>
      <c r="O1" s="12" t="inlineStr">
        <is>
          <t>Ice Surface Option</t>
        </is>
      </c>
      <c r="P1" s="12" t="inlineStr">
        <is>
          <t>Notes</t>
        </is>
      </c>
      <c r="Q1" s="12" t="inlineStr">
        <is>
          <t>Manager Helper Index</t>
        </is>
      </c>
    </row>
    <row r="2">
      <c r="A2" s="20" t="n">
        <v>1</v>
      </c>
      <c r="B2" s="20" t="inlineStr">
        <is>
          <t>Week 1</t>
        </is>
      </c>
      <c r="C2" s="20" t="inlineStr">
        <is>
          <t>Monday</t>
        </is>
      </c>
      <c r="D2" s="20" t="inlineStr">
        <is>
          <t>2026-10-05</t>
        </is>
      </c>
      <c r="E2" s="20" t="inlineStr">
        <is>
          <t>16:00 - 17:00</t>
        </is>
      </c>
      <c r="F2" s="20" t="inlineStr">
        <is>
          <t>04:00 PM</t>
        </is>
      </c>
      <c r="G2" s="20" t="inlineStr">
        <is>
          <t>05:00 PM</t>
        </is>
      </c>
      <c r="H2" s="20" t="n">
        <v>60</v>
      </c>
      <c r="I2" s="20" t="n">
        <v>1</v>
      </c>
      <c r="J2" s="20" t="inlineStr">
        <is>
          <t>Deuvilles</t>
        </is>
      </c>
      <c r="K2" s="20" t="inlineStr">
        <is>
          <t>Deuville’s Rink, Truro, NS</t>
        </is>
      </c>
      <c r="L2" s="20" t="inlineStr">
        <is>
          <t>U13A</t>
        </is>
      </c>
      <c r="M2" s="20" t="inlineStr">
        <is>
          <t>Practice</t>
        </is>
      </c>
      <c r="N2" s="20" t="inlineStr">
        <is>
          <t>Practice</t>
        </is>
      </c>
      <c r="O2" s="20" t="inlineStr">
        <is>
          <t>Full Ice</t>
        </is>
      </c>
      <c r="P2" s="20" t="inlineStr">
        <is>
          <t>Early afternoon team practice</t>
        </is>
      </c>
      <c r="Q2" s="20">
        <f>IF(L2=Manager_GrayJay_Export!$C$4, COUNTIF(L$2:L2, Manager_GrayJay_Export!$C$4), "")</f>
        <v/>
      </c>
    </row>
    <row r="3">
      <c r="A3" s="20" t="n">
        <v>2</v>
      </c>
      <c r="B3" s="20" t="inlineStr">
        <is>
          <t>Week 1</t>
        </is>
      </c>
      <c r="C3" s="20" t="inlineStr">
        <is>
          <t>Monday</t>
        </is>
      </c>
      <c r="D3" s="20" t="inlineStr">
        <is>
          <t>2026-10-05</t>
        </is>
      </c>
      <c r="E3" s="20" t="inlineStr">
        <is>
          <t>17:00 - 18:00</t>
        </is>
      </c>
      <c r="F3" s="20" t="inlineStr">
        <is>
          <t>05:00 PM</t>
        </is>
      </c>
      <c r="G3" s="20" t="inlineStr">
        <is>
          <t>06:00 PM</t>
        </is>
      </c>
      <c r="H3" s="20" t="n">
        <v>60</v>
      </c>
      <c r="I3" s="20" t="n">
        <v>1</v>
      </c>
      <c r="J3" s="20" t="inlineStr">
        <is>
          <t>Deuvilles</t>
        </is>
      </c>
      <c r="K3" s="20" t="inlineStr">
        <is>
          <t>Deuville’s Rink, Truro, NS</t>
        </is>
      </c>
      <c r="L3" s="20" t="inlineStr">
        <is>
          <t>U11AA</t>
        </is>
      </c>
      <c r="M3" s="20" t="inlineStr">
        <is>
          <t>Practice</t>
        </is>
      </c>
      <c r="N3" s="20" t="inlineStr">
        <is>
          <t>Practice</t>
        </is>
      </c>
      <c r="O3" s="20" t="inlineStr">
        <is>
          <t>Full Ice</t>
        </is>
      </c>
      <c r="P3" s="20" t="inlineStr">
        <is>
          <t>Regular practice slot</t>
        </is>
      </c>
      <c r="Q3" s="20">
        <f>IF(L3=Manager_GrayJay_Export!$C$4, COUNTIF(L$2:L3, Manager_GrayJay_Export!$C$4), "")</f>
        <v/>
      </c>
    </row>
    <row r="4">
      <c r="A4" s="20" t="n">
        <v>3</v>
      </c>
      <c r="B4" s="20" t="inlineStr">
        <is>
          <t>Week 1</t>
        </is>
      </c>
      <c r="C4" s="20" t="inlineStr">
        <is>
          <t>Monday</t>
        </is>
      </c>
      <c r="D4" s="20" t="inlineStr">
        <is>
          <t>2026-10-05</t>
        </is>
      </c>
      <c r="E4" s="20" t="inlineStr">
        <is>
          <t>18:00 - 19:30</t>
        </is>
      </c>
      <c r="F4" s="20" t="inlineStr">
        <is>
          <t>06:00 PM</t>
        </is>
      </c>
      <c r="G4" s="20" t="inlineStr">
        <is>
          <t>07:30 PM</t>
        </is>
      </c>
      <c r="H4" s="20" t="n">
        <v>90</v>
      </c>
      <c r="I4" s="20" t="n">
        <v>1.5</v>
      </c>
      <c r="J4" s="20" t="inlineStr">
        <is>
          <t>Deuvilles</t>
        </is>
      </c>
      <c r="K4" s="20" t="inlineStr">
        <is>
          <t>Deuville’s Rink, Truro, NS</t>
        </is>
      </c>
      <c r="L4" s="20" t="inlineStr">
        <is>
          <t>U15AA</t>
        </is>
      </c>
      <c r="M4" s="20" t="inlineStr">
        <is>
          <t>Practice</t>
        </is>
      </c>
      <c r="N4" s="20" t="inlineStr">
        <is>
          <t>Practice</t>
        </is>
      </c>
      <c r="O4" s="20" t="inlineStr">
        <is>
          <t>Full Ice</t>
        </is>
      </c>
      <c r="P4" s="20" t="inlineStr">
        <is>
          <t>90 min extended session</t>
        </is>
      </c>
      <c r="Q4" s="20">
        <f>IF(L4=Manager_GrayJay_Export!$C$4, COUNTIF(L$2:L4, Manager_GrayJay_Export!$C$4), "")</f>
        <v/>
      </c>
    </row>
    <row r="5">
      <c r="A5" s="20" t="n">
        <v>4</v>
      </c>
      <c r="B5" s="20" t="inlineStr">
        <is>
          <t>Week 1</t>
        </is>
      </c>
      <c r="C5" s="20" t="inlineStr">
        <is>
          <t>Monday</t>
        </is>
      </c>
      <c r="D5" s="20" t="inlineStr">
        <is>
          <t>2026-10-05</t>
        </is>
      </c>
      <c r="E5" s="20" t="inlineStr">
        <is>
          <t>19:30 - 20:30</t>
        </is>
      </c>
      <c r="F5" s="20" t="inlineStr">
        <is>
          <t>07:30 PM</t>
        </is>
      </c>
      <c r="G5" s="20" t="inlineStr">
        <is>
          <t>08:30 PM</t>
        </is>
      </c>
      <c r="H5" s="20" t="n">
        <v>60</v>
      </c>
      <c r="I5" s="20" t="n">
        <v>1</v>
      </c>
      <c r="J5" s="20" t="inlineStr">
        <is>
          <t>Deuvilles</t>
        </is>
      </c>
      <c r="K5" s="20" t="inlineStr">
        <is>
          <t>Deuville’s Rink, Truro, NS</t>
        </is>
      </c>
      <c r="L5" s="20" t="inlineStr">
        <is>
          <t>[OPEN]</t>
        </is>
      </c>
      <c r="M5" s="20" t="inlineStr">
        <is>
          <t>Unassigned</t>
        </is>
      </c>
      <c r="N5" s="20" t="inlineStr">
        <is>
          <t>Open Ice</t>
        </is>
      </c>
      <c r="O5" s="20" t="inlineStr">
        <is>
          <t>Full Ice</t>
        </is>
      </c>
      <c r="P5" s="20" t="inlineStr">
        <is>
          <t>Potential dead ice - return or assign</t>
        </is>
      </c>
      <c r="Q5" s="20">
        <f>IF(L5=Manager_GrayJay_Export!$C$4, COUNTIF(L$2:L5, Manager_GrayJay_Export!$C$4), "")</f>
        <v/>
      </c>
    </row>
    <row r="6">
      <c r="A6" s="20" t="n">
        <v>5</v>
      </c>
      <c r="B6" s="20" t="inlineStr">
        <is>
          <t>Week 1</t>
        </is>
      </c>
      <c r="C6" s="20" t="inlineStr">
        <is>
          <t>Tuesday</t>
        </is>
      </c>
      <c r="D6" s="20" t="inlineStr">
        <is>
          <t>2026-10-06</t>
        </is>
      </c>
      <c r="E6" s="20" t="inlineStr">
        <is>
          <t>17:00 - 18:00</t>
        </is>
      </c>
      <c r="F6" s="20" t="inlineStr">
        <is>
          <t>05:00 PM</t>
        </is>
      </c>
      <c r="G6" s="20" t="inlineStr">
        <is>
          <t>06:00 PM</t>
        </is>
      </c>
      <c r="H6" s="20" t="n">
        <v>60</v>
      </c>
      <c r="I6" s="20" t="n">
        <v>1</v>
      </c>
      <c r="J6" s="20" t="inlineStr">
        <is>
          <t>Stadium</t>
        </is>
      </c>
      <c r="K6" s="20" t="inlineStr">
        <is>
          <t>Colchester Legion Stadium, Truro, NS</t>
        </is>
      </c>
      <c r="L6" s="20" t="inlineStr">
        <is>
          <t>U13A</t>
        </is>
      </c>
      <c r="M6" s="20" t="inlineStr">
        <is>
          <t>Practice</t>
        </is>
      </c>
      <c r="N6" s="20" t="inlineStr">
        <is>
          <t>Practice</t>
        </is>
      </c>
      <c r="O6" s="20" t="inlineStr">
        <is>
          <t>Full Ice</t>
        </is>
      </c>
      <c r="P6" s="20" t="inlineStr">
        <is>
          <t>Tuesday team practice</t>
        </is>
      </c>
      <c r="Q6" s="20">
        <f>IF(L6=Manager_GrayJay_Export!$C$4, COUNTIF(L$2:L6, Manager_GrayJay_Export!$C$4), "")</f>
        <v/>
      </c>
    </row>
    <row r="7">
      <c r="A7" s="20" t="n">
        <v>6</v>
      </c>
      <c r="B7" s="20" t="inlineStr">
        <is>
          <t>Week 1</t>
        </is>
      </c>
      <c r="C7" s="20" t="inlineStr">
        <is>
          <t>Tuesday</t>
        </is>
      </c>
      <c r="D7" s="20" t="inlineStr">
        <is>
          <t>2026-10-06</t>
        </is>
      </c>
      <c r="E7" s="20" t="inlineStr">
        <is>
          <t>18:00 - 19:00</t>
        </is>
      </c>
      <c r="F7" s="20" t="inlineStr">
        <is>
          <t>06:00 PM</t>
        </is>
      </c>
      <c r="G7" s="20" t="inlineStr">
        <is>
          <t>07:00 PM</t>
        </is>
      </c>
      <c r="H7" s="20" t="n">
        <v>60</v>
      </c>
      <c r="I7" s="20" t="n">
        <v>1</v>
      </c>
      <c r="J7" s="20" t="inlineStr">
        <is>
          <t>Stadium</t>
        </is>
      </c>
      <c r="K7" s="20" t="inlineStr">
        <is>
          <t>Colchester Legion Stadium, Truro, NS</t>
        </is>
      </c>
      <c r="L7" s="20" t="inlineStr">
        <is>
          <t>U11C Bernard</t>
        </is>
      </c>
      <c r="M7" s="20" t="inlineStr">
        <is>
          <t>Practice</t>
        </is>
      </c>
      <c r="N7" s="20" t="inlineStr">
        <is>
          <t>Practice</t>
        </is>
      </c>
      <c r="O7" s="20" t="inlineStr">
        <is>
          <t>Full Ice</t>
        </is>
      </c>
      <c r="P7" s="20" t="inlineStr">
        <is>
          <t>House league practice</t>
        </is>
      </c>
      <c r="Q7" s="20">
        <f>IF(L7=Manager_GrayJay_Export!$C$4, COUNTIF(L$2:L7, Manager_GrayJay_Export!$C$4), "")</f>
        <v/>
      </c>
    </row>
    <row r="8">
      <c r="A8" s="20" t="n">
        <v>7</v>
      </c>
      <c r="B8" s="20" t="inlineStr">
        <is>
          <t>Week 1</t>
        </is>
      </c>
      <c r="C8" s="20" t="inlineStr">
        <is>
          <t>Wednesday</t>
        </is>
      </c>
      <c r="D8" s="20" t="inlineStr">
        <is>
          <t>2026-10-07</t>
        </is>
      </c>
      <c r="E8" s="20" t="inlineStr">
        <is>
          <t>16:30 - 17:30</t>
        </is>
      </c>
      <c r="F8" s="20" t="inlineStr">
        <is>
          <t>04:30 PM</t>
        </is>
      </c>
      <c r="G8" s="20" t="inlineStr">
        <is>
          <t>05:30 PM</t>
        </is>
      </c>
      <c r="H8" s="20" t="n">
        <v>60</v>
      </c>
      <c r="I8" s="20" t="n">
        <v>1</v>
      </c>
      <c r="J8" s="20" t="inlineStr">
        <is>
          <t>RECC</t>
        </is>
      </c>
      <c r="K8" s="20" t="inlineStr">
        <is>
          <t>Rath Eastlink Community Centre, Truro, NS</t>
        </is>
      </c>
      <c r="L8" s="20" t="inlineStr">
        <is>
          <t>U11AA</t>
        </is>
      </c>
      <c r="M8" s="20" t="inlineStr">
        <is>
          <t>Practice</t>
        </is>
      </c>
      <c r="N8" s="20" t="inlineStr">
        <is>
          <t>Practice</t>
        </is>
      </c>
      <c r="O8" s="20" t="inlineStr">
        <is>
          <t>Full Ice</t>
        </is>
      </c>
      <c r="P8" s="20" t="inlineStr">
        <is>
          <t>Mid-week skill development</t>
        </is>
      </c>
      <c r="Q8" s="20">
        <f>IF(L8=Manager_GrayJay_Export!$C$4, COUNTIF(L$2:L8, Manager_GrayJay_Export!$C$4), "")</f>
        <v/>
      </c>
    </row>
    <row r="9">
      <c r="A9" s="20" t="n">
        <v>8</v>
      </c>
      <c r="B9" s="20" t="inlineStr">
        <is>
          <t>Week 1</t>
        </is>
      </c>
      <c r="C9" s="20" t="inlineStr">
        <is>
          <t>Wednesday</t>
        </is>
      </c>
      <c r="D9" s="20" t="inlineStr">
        <is>
          <t>2026-10-07</t>
        </is>
      </c>
      <c r="E9" s="20" t="inlineStr">
        <is>
          <t>17:30 - 18:30</t>
        </is>
      </c>
      <c r="F9" s="20" t="inlineStr">
        <is>
          <t>05:30 PM</t>
        </is>
      </c>
      <c r="G9" s="20" t="inlineStr">
        <is>
          <t>06:30 PM</t>
        </is>
      </c>
      <c r="H9" s="20" t="n">
        <v>60</v>
      </c>
      <c r="I9" s="20" t="n">
        <v>1</v>
      </c>
      <c r="J9" s="20" t="inlineStr">
        <is>
          <t>RECC</t>
        </is>
      </c>
      <c r="K9" s="20" t="inlineStr">
        <is>
          <t>Rath Eastlink Community Centre, Truro, NS</t>
        </is>
      </c>
      <c r="L9" s="20" t="inlineStr">
        <is>
          <t>U13A</t>
        </is>
      </c>
      <c r="M9" s="20" t="inlineStr">
        <is>
          <t>Development</t>
        </is>
      </c>
      <c r="N9" s="20" t="inlineStr">
        <is>
          <t>Development Session</t>
        </is>
      </c>
      <c r="O9" s="20" t="inlineStr">
        <is>
          <t>Half Ice</t>
        </is>
      </c>
      <c r="P9" s="20" t="inlineStr">
        <is>
          <t>Shared skills ice with U13B</t>
        </is>
      </c>
      <c r="Q9" s="20">
        <f>IF(L9=Manager_GrayJay_Export!$C$4, COUNTIF(L$2:L9, Manager_GrayJay_Export!$C$4), "")</f>
        <v/>
      </c>
    </row>
    <row r="10">
      <c r="A10" s="20" t="n">
        <v>9</v>
      </c>
      <c r="B10" s="20" t="inlineStr">
        <is>
          <t>Week 1</t>
        </is>
      </c>
      <c r="C10" s="20" t="inlineStr">
        <is>
          <t>Wednesday</t>
        </is>
      </c>
      <c r="D10" s="20" t="inlineStr">
        <is>
          <t>2026-10-07</t>
        </is>
      </c>
      <c r="E10" s="20" t="inlineStr">
        <is>
          <t>18:30 - 20:00</t>
        </is>
      </c>
      <c r="F10" s="20" t="inlineStr">
        <is>
          <t>06:30 PM</t>
        </is>
      </c>
      <c r="G10" s="20" t="inlineStr">
        <is>
          <t>08:00 PM</t>
        </is>
      </c>
      <c r="H10" s="20" t="n">
        <v>90</v>
      </c>
      <c r="I10" s="20" t="n">
        <v>1.5</v>
      </c>
      <c r="J10" s="20" t="inlineStr">
        <is>
          <t>RECC</t>
        </is>
      </c>
      <c r="K10" s="20" t="inlineStr">
        <is>
          <t>Rath Eastlink Community Centre, Truro, NS</t>
        </is>
      </c>
      <c r="L10" s="20" t="inlineStr">
        <is>
          <t>U15AA</t>
        </is>
      </c>
      <c r="M10" s="20" t="inlineStr">
        <is>
          <t>Practice</t>
        </is>
      </c>
      <c r="N10" s="20" t="inlineStr">
        <is>
          <t>Practice</t>
        </is>
      </c>
      <c r="O10" s="20" t="inlineStr">
        <is>
          <t>Full Ice</t>
        </is>
      </c>
      <c r="P10" s="20" t="inlineStr">
        <is>
          <t>Full ice prep session</t>
        </is>
      </c>
      <c r="Q10" s="20">
        <f>IF(L10=Manager_GrayJay_Export!$C$4, COUNTIF(L$2:L10, Manager_GrayJay_Export!$C$4), "")</f>
        <v/>
      </c>
    </row>
    <row r="11">
      <c r="A11" s="20" t="n">
        <v>10</v>
      </c>
      <c r="B11" s="20" t="inlineStr">
        <is>
          <t>Week 1</t>
        </is>
      </c>
      <c r="C11" s="20" t="inlineStr">
        <is>
          <t>Thursday</t>
        </is>
      </c>
      <c r="D11" s="20" t="inlineStr">
        <is>
          <t>2026-10-08</t>
        </is>
      </c>
      <c r="E11" s="20" t="inlineStr">
        <is>
          <t>17:00 - 18:00</t>
        </is>
      </c>
      <c r="F11" s="20" t="inlineStr">
        <is>
          <t>05:00 PM</t>
        </is>
      </c>
      <c r="G11" s="20" t="inlineStr">
        <is>
          <t>06:00 PM</t>
        </is>
      </c>
      <c r="H11" s="20" t="n">
        <v>60</v>
      </c>
      <c r="I11" s="20" t="n">
        <v>1</v>
      </c>
      <c r="J11" s="20" t="inlineStr">
        <is>
          <t>Debert</t>
        </is>
      </c>
      <c r="K11" s="20" t="inlineStr">
        <is>
          <t>West Colchester United Arena, Debert, NS</t>
        </is>
      </c>
      <c r="L11" s="20" t="inlineStr">
        <is>
          <t>U11C Bernard</t>
        </is>
      </c>
      <c r="M11" s="20" t="inlineStr">
        <is>
          <t>Practice</t>
        </is>
      </c>
      <c r="N11" s="20" t="inlineStr">
        <is>
          <t>Practice</t>
        </is>
      </c>
      <c r="O11" s="20" t="inlineStr">
        <is>
          <t>Full Ice</t>
        </is>
      </c>
      <c r="P11" s="20" t="inlineStr">
        <is>
          <t>Debert practice session</t>
        </is>
      </c>
      <c r="Q11" s="20">
        <f>IF(L11=Manager_GrayJay_Export!$C$4, COUNTIF(L$2:L11, Manager_GrayJay_Export!$C$4), "")</f>
        <v/>
      </c>
    </row>
    <row r="12">
      <c r="A12" s="20" t="n">
        <v>11</v>
      </c>
      <c r="B12" s="20" t="inlineStr">
        <is>
          <t>Week 1</t>
        </is>
      </c>
      <c r="C12" s="20" t="inlineStr">
        <is>
          <t>Saturday</t>
        </is>
      </c>
      <c r="D12" s="20" t="inlineStr">
        <is>
          <t>2026-10-10</t>
        </is>
      </c>
      <c r="E12" s="20" t="inlineStr">
        <is>
          <t>16:30 - 17:50</t>
        </is>
      </c>
      <c r="F12" s="20" t="inlineStr">
        <is>
          <t>04:30 PM</t>
        </is>
      </c>
      <c r="G12" s="20" t="inlineStr">
        <is>
          <t>05:50 PM</t>
        </is>
      </c>
      <c r="H12" s="20" t="n">
        <v>80</v>
      </c>
      <c r="I12" s="20" t="n">
        <v>1.33</v>
      </c>
      <c r="J12" s="20" t="inlineStr">
        <is>
          <t>Stadium</t>
        </is>
      </c>
      <c r="K12" s="20" t="inlineStr">
        <is>
          <t>Colchester Legion Stadium, Truro, NS</t>
        </is>
      </c>
      <c r="L12" s="20" t="inlineStr">
        <is>
          <t>U13AA</t>
        </is>
      </c>
      <c r="M12" s="20" t="inlineStr">
        <is>
          <t>Game</t>
        </is>
      </c>
      <c r="N12" s="20" t="inlineStr">
        <is>
          <t>League Game</t>
        </is>
      </c>
      <c r="O12" s="20" t="inlineStr">
        <is>
          <t>Full Ice</t>
        </is>
      </c>
      <c r="P12" s="20" t="inlineStr">
        <is>
          <t>GrayJay #131131 vs Antigonish</t>
        </is>
      </c>
      <c r="Q12" s="20">
        <f>IF(L12=Manager_GrayJay_Export!$C$4, COUNTIF(L$2:L12, Manager_GrayJay_Export!$C$4), "")</f>
        <v/>
      </c>
    </row>
    <row r="13">
      <c r="A13" s="20" t="n">
        <v>12</v>
      </c>
      <c r="B13" s="20" t="inlineStr">
        <is>
          <t>Week 1</t>
        </is>
      </c>
      <c r="C13" s="20" t="inlineStr">
        <is>
          <t>Sunday</t>
        </is>
      </c>
      <c r="D13" s="20" t="inlineStr">
        <is>
          <t>2026-10-11</t>
        </is>
      </c>
      <c r="E13" s="20" t="inlineStr">
        <is>
          <t>12:00 - 13:00</t>
        </is>
      </c>
      <c r="F13" s="20" t="inlineStr">
        <is>
          <t>12:00 PM</t>
        </is>
      </c>
      <c r="G13" s="20" t="inlineStr">
        <is>
          <t>01:00 PM</t>
        </is>
      </c>
      <c r="H13" s="20" t="n">
        <v>60</v>
      </c>
      <c r="I13" s="20" t="n">
        <v>1</v>
      </c>
      <c r="J13" s="20" t="inlineStr">
        <is>
          <t>Stadium</t>
        </is>
      </c>
      <c r="K13" s="20" t="inlineStr">
        <is>
          <t>Colchester Legion Stadium, Truro, NS</t>
        </is>
      </c>
      <c r="L13" s="20" t="inlineStr">
        <is>
          <t>[OPEN]</t>
        </is>
      </c>
      <c r="M13" s="20" t="inlineStr">
        <is>
          <t>Unassigned</t>
        </is>
      </c>
      <c r="N13" s="20" t="inlineStr">
        <is>
          <t>Open Ice</t>
        </is>
      </c>
      <c r="O13" s="20" t="inlineStr">
        <is>
          <t>Full Ice</t>
        </is>
      </c>
      <c r="P13" s="20" t="inlineStr">
        <is>
          <t>Weekend dead ice warning</t>
        </is>
      </c>
      <c r="Q13" s="20">
        <f>IF(L13=Manager_GrayJay_Export!$C$4, COUNTIF(L$2:L13, Manager_GrayJay_Export!$C$4),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2026-10-02T00:58:48Z</dcterms:created>
  <dcterms:modified xmlns:dcterms="http://purl.org/dc/terms/" xmlns:xsi="http://www.w3.org/2001/XMLSchema-instance" xsi:type="dcterms:W3CDTF">2026-10-02T18:14:02Z</dcterms:modified>
</cp:coreProperties>
</file>