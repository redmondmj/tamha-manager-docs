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fig_Directory" sheetId="1" state="visible" r:id="rId1"/>
    <sheet xmlns:r="http://schemas.openxmlformats.org/officeDocument/2006/relationships" name="Weekday_Template" sheetId="2" state="visible" r:id="rId2"/>
    <sheet xmlns:r="http://schemas.openxmlformats.org/officeDocument/2006/relationships" name="Weekend_Template" sheetId="3" state="visible" r:id="rId3"/>
    <sheet xmlns:r="http://schemas.openxmlformats.org/officeDocument/2006/relationships" name="Ice_Dashboard"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1F497D"/>
      <sz val="14"/>
    </font>
    <font>
      <name val="Calibri"/>
      <sz val="10"/>
    </font>
    <font>
      <name val="Calibri"/>
      <b val="1"/>
      <color rgb="00FFFFFF"/>
      <sz val="11"/>
    </font>
    <font>
      <name val="Calibri"/>
      <b val="1"/>
      <sz val="10"/>
    </font>
    <font>
      <name val="Calibri"/>
      <b val="1"/>
      <color rgb="001F497D"/>
      <sz val="10"/>
    </font>
  </fonts>
  <fills count="12">
    <fill>
      <patternFill/>
    </fill>
    <fill>
      <patternFill patternType="gray125"/>
    </fill>
    <fill>
      <patternFill patternType="solid">
        <fgColor rgb="001F497D"/>
        <bgColor rgb="001F497D"/>
      </patternFill>
    </fill>
    <fill>
      <patternFill patternType="solid">
        <fgColor rgb="00D9EAD3"/>
        <bgColor rgb="00D9EAD3"/>
      </patternFill>
    </fill>
    <fill>
      <patternFill patternType="solid">
        <fgColor rgb="00CFE2F3"/>
        <bgColor rgb="00CFE2F3"/>
      </patternFill>
    </fill>
    <fill>
      <patternFill patternType="solid">
        <fgColor rgb="00D9D2E9"/>
        <bgColor rgb="00D9D2E9"/>
      </patternFill>
    </fill>
    <fill>
      <patternFill patternType="solid">
        <fgColor rgb="00FFF2CC"/>
        <bgColor rgb="00FFF2CC"/>
      </patternFill>
    </fill>
    <fill>
      <patternFill patternType="solid">
        <fgColor rgb="00EFEFEF"/>
        <bgColor rgb="00EFEFEF"/>
      </patternFill>
    </fill>
    <fill>
      <patternFill patternType="solid">
        <fgColor rgb="00FCE5CD"/>
        <bgColor rgb="00FCE5CD"/>
      </patternFill>
    </fill>
    <fill>
      <patternFill patternType="solid">
        <fgColor rgb="00F4CCCC"/>
        <bgColor rgb="00F4CCCC"/>
      </patternFill>
    </fill>
    <fill>
      <patternFill patternType="solid">
        <fgColor rgb="00DCE6F1"/>
        <bgColor rgb="00DCE6F1"/>
      </patternFill>
    </fill>
    <fill>
      <patternFill patternType="solid">
        <fgColor rgb="00F2F2F2"/>
        <bgColor rgb="00F2F2F2"/>
      </patternFill>
    </fill>
  </fills>
  <borders count="2">
    <border>
      <left/>
      <right/>
      <top/>
      <bottom/>
      <diagonal/>
    </border>
    <border>
      <left style="thin">
        <color rgb="00D0D7DE"/>
      </left>
      <right style="thin">
        <color rgb="00D0D7DE"/>
      </right>
      <top style="thin">
        <color rgb="00D0D7DE"/>
      </top>
      <bottom style="thin">
        <color rgb="00D0D7DE"/>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3" fillId="2" borderId="0" pivotButton="0" quotePrefix="0" xfId="0"/>
    <xf numFmtId="0" fontId="2" fillId="0" borderId="1" applyAlignment="1" pivotButton="0" quotePrefix="0" xfId="0">
      <alignment horizontal="center" vertical="center"/>
    </xf>
    <xf numFmtId="0" fontId="2" fillId="0" borderId="1" pivotButton="0" quotePrefix="0" xfId="0"/>
    <xf numFmtId="0" fontId="4" fillId="0" borderId="1" pivotButton="0" quotePrefix="0" xfId="0"/>
    <xf numFmtId="0" fontId="0" fillId="3" borderId="1" pivotButton="0" quotePrefix="0" xfId="0"/>
    <xf numFmtId="0" fontId="0" fillId="4" borderId="1" pivotButton="0" quotePrefix="0" xfId="0"/>
    <xf numFmtId="0" fontId="0" fillId="5" borderId="1" pivotButton="0" quotePrefix="0" xfId="0"/>
    <xf numFmtId="0" fontId="0" fillId="6" borderId="1" pivotButton="0" quotePrefix="0" xfId="0"/>
    <xf numFmtId="0" fontId="0" fillId="7" borderId="1" pivotButton="0" quotePrefix="0" xfId="0"/>
    <xf numFmtId="0" fontId="0" fillId="8" borderId="1" pivotButton="0" quotePrefix="0" xfId="0"/>
    <xf numFmtId="0" fontId="0" fillId="9" borderId="1" pivotButton="0" quotePrefix="0" xfId="0"/>
    <xf numFmtId="0" fontId="4" fillId="0" borderId="0" pivotButton="0" quotePrefix="0" xfId="0"/>
    <xf numFmtId="0" fontId="3" fillId="2" borderId="0" applyAlignment="1" pivotButton="0" quotePrefix="0" xfId="0">
      <alignment horizontal="left" vertical="center"/>
    </xf>
    <xf numFmtId="0" fontId="5" fillId="10" borderId="0" applyAlignment="1" pivotButton="0" quotePrefix="0" xfId="0">
      <alignment horizontal="center" vertical="center"/>
    </xf>
    <xf numFmtId="0" fontId="4" fillId="11" borderId="1" applyAlignment="1" pivotButton="0" quotePrefix="0" xfId="0">
      <alignment horizontal="center" vertical="center"/>
    </xf>
    <xf numFmtId="0" fontId="4" fillId="0" borderId="1" applyAlignment="1" pivotButton="0" quotePrefix="0" xfId="0">
      <alignment horizontal="center" vertical="center"/>
    </xf>
  </cellXfs>
  <cellStyles count="1">
    <cellStyle name="Normal" xfId="0" builtinId="0" hidden="0"/>
  </cellStyles>
  <dxfs count="7">
    <dxf>
      <font>
        <name val="Calibri"/>
        <b val="1"/>
        <color rgb="00274E13"/>
        <sz val="10"/>
      </font>
      <fill>
        <patternFill patternType="solid">
          <fgColor rgb="00D9EAD3"/>
          <bgColor rgb="00D9EAD3"/>
        </patternFill>
      </fill>
    </dxf>
    <dxf>
      <font>
        <name val="Calibri"/>
        <b val="1"/>
        <color rgb="000B5394"/>
        <sz val="10"/>
      </font>
      <fill>
        <patternFill patternType="solid">
          <fgColor rgb="00CFE2F3"/>
          <bgColor rgb="00CFE2F3"/>
        </patternFill>
      </fill>
    </dxf>
    <dxf>
      <font>
        <name val="Calibri"/>
        <b val="1"/>
        <color rgb="00351C75"/>
        <sz val="10"/>
      </font>
      <fill>
        <patternFill patternType="solid">
          <fgColor rgb="00D9D2E9"/>
          <bgColor rgb="00D9D2E9"/>
        </patternFill>
      </fill>
    </dxf>
    <dxf>
      <font>
        <name val="Calibri"/>
        <b val="1"/>
        <color rgb="007F6000"/>
        <sz val="10"/>
      </font>
      <fill>
        <patternFill patternType="solid">
          <fgColor rgb="00FFF2CC"/>
          <bgColor rgb="00FFF2CC"/>
        </patternFill>
      </fill>
    </dxf>
    <dxf>
      <font>
        <name val="Calibri"/>
        <b val="1"/>
        <color rgb="00777777"/>
        <sz val="10"/>
      </font>
      <fill>
        <patternFill patternType="solid">
          <fgColor rgb="00EFEFEF"/>
          <bgColor rgb="00EFEFEF"/>
        </patternFill>
      </fill>
    </dxf>
    <dxf>
      <font>
        <name val="Calibri"/>
        <b val="1"/>
        <color rgb="00B45F06"/>
        <sz val="10"/>
      </font>
      <fill>
        <patternFill patternType="solid">
          <fgColor rgb="00FCE5CD"/>
          <bgColor rgb="00FCE5CD"/>
        </patternFill>
      </fill>
    </dxf>
    <dxf>
      <font>
        <name val="Calibri"/>
        <b val="1"/>
        <color rgb="00990000"/>
        <sz val="10"/>
      </font>
      <fill>
        <patternFill patternType="solid">
          <fgColor rgb="00F4CCCC"/>
          <b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8"/>
  <sheetViews>
    <sheetView workbookViewId="0">
      <selection activeCell="A1" sqref="A1"/>
    </sheetView>
  </sheetViews>
  <sheetFormatPr baseColWidth="8" defaultRowHeight="15"/>
  <cols>
    <col width="12" customWidth="1" min="1" max="1"/>
    <col width="25" customWidth="1" min="2" max="2"/>
    <col width="25" customWidth="1" min="3" max="3"/>
    <col width="15" customWidth="1" min="4" max="4"/>
    <col width="5" customWidth="1" min="5" max="5"/>
    <col width="24" customWidth="1" min="6" max="6"/>
    <col width="12" customWidth="1" min="7" max="7"/>
    <col width="45" customWidth="1" min="8" max="8"/>
    <col width="5" customWidth="1" min="9" max="9"/>
    <col width="20" customWidth="1" min="10" max="10"/>
  </cols>
  <sheetData>
    <row r="1">
      <c r="A1" s="1" t="inlineStr">
        <is>
          <t>TAMHA TEAMS &amp; DIVISIONS DIRECTORY</t>
        </is>
      </c>
    </row>
    <row r="2">
      <c r="A2" s="2" t="inlineStr">
        <is>
          <t>Official source of truth for dropdowns, validation, and reporting.</t>
        </is>
      </c>
    </row>
    <row r="4">
      <c r="A4" s="3" t="inlineStr">
        <is>
          <t>Division</t>
        </is>
      </c>
      <c r="B4" s="3" t="inlineStr">
        <is>
          <t>Team / Level</t>
        </is>
      </c>
      <c r="C4" s="3" t="inlineStr">
        <is>
          <t>Display Label</t>
        </is>
      </c>
      <c r="D4" s="3" t="inlineStr">
        <is>
          <t>Category</t>
        </is>
      </c>
      <c r="F4" s="4" t="inlineStr">
        <is>
          <t>ICE STATUS CATEGORIES</t>
        </is>
      </c>
      <c r="G4" s="4" t="inlineStr">
        <is>
          <t>Color Code</t>
        </is>
      </c>
      <c r="H4" s="4" t="inlineStr">
        <is>
          <t>Description</t>
        </is>
      </c>
      <c r="J4" s="4" t="inlineStr">
        <is>
          <t>VENUES / RINKS</t>
        </is>
      </c>
    </row>
    <row r="5">
      <c r="A5" s="5" t="inlineStr">
        <is>
          <t>U7</t>
        </is>
      </c>
      <c r="B5" s="6" t="inlineStr">
        <is>
          <t>U7-4</t>
        </is>
      </c>
      <c r="C5" s="6" t="inlineStr">
        <is>
          <t>U7 - Group 4</t>
        </is>
      </c>
      <c r="D5" s="5" t="inlineStr">
        <is>
          <t>Team</t>
        </is>
      </c>
      <c r="F5" s="7" t="inlineStr">
        <is>
          <t>Open / Available</t>
        </is>
      </c>
      <c r="G5" s="8" t="inlineStr"/>
      <c r="H5" s="6" t="inlineStr">
        <is>
          <t>Unassigned ice open for teams to claim/purchase</t>
        </is>
      </c>
      <c r="J5" s="6" t="inlineStr">
        <is>
          <t>Truro Stadium</t>
        </is>
      </c>
    </row>
    <row r="6">
      <c r="A6" s="5" t="inlineStr">
        <is>
          <t>U7</t>
        </is>
      </c>
      <c r="B6" s="6" t="inlineStr">
        <is>
          <t>U7-5 Blue</t>
        </is>
      </c>
      <c r="C6" s="6" t="inlineStr">
        <is>
          <t>U7 - 5 Blue</t>
        </is>
      </c>
      <c r="D6" s="5" t="inlineStr">
        <is>
          <t>Team</t>
        </is>
      </c>
      <c r="F6" s="7" t="inlineStr">
        <is>
          <t>Booked: Practice</t>
        </is>
      </c>
      <c r="G6" s="9" t="inlineStr"/>
      <c r="H6" s="6" t="inlineStr">
        <is>
          <t>Confirmed regular practice ice</t>
        </is>
      </c>
      <c r="J6" s="6" t="inlineStr">
        <is>
          <t>RECC</t>
        </is>
      </c>
    </row>
    <row r="7">
      <c r="A7" s="5" t="inlineStr">
        <is>
          <t>U7</t>
        </is>
      </c>
      <c r="B7" s="6" t="inlineStr">
        <is>
          <t>U7-5 Orange</t>
        </is>
      </c>
      <c r="C7" s="6" t="inlineStr">
        <is>
          <t>U7 - 5 Orange</t>
        </is>
      </c>
      <c r="D7" s="5" t="inlineStr">
        <is>
          <t>Team</t>
        </is>
      </c>
      <c r="F7" s="7" t="inlineStr">
        <is>
          <t>Booked: Home Game</t>
        </is>
      </c>
      <c r="G7" s="10" t="inlineStr"/>
      <c r="H7" s="6" t="inlineStr">
        <is>
          <t>Confirmed league/exhibition home game</t>
        </is>
      </c>
      <c r="J7" s="6" t="inlineStr">
        <is>
          <t>Deuvilles</t>
        </is>
      </c>
    </row>
    <row r="8">
      <c r="A8" s="5" t="inlineStr">
        <is>
          <t>U7</t>
        </is>
      </c>
      <c r="B8" s="6" t="inlineStr">
        <is>
          <t>U7-6</t>
        </is>
      </c>
      <c r="C8" s="6" t="inlineStr">
        <is>
          <t>U7 - Group 6</t>
        </is>
      </c>
      <c r="D8" s="5" t="inlineStr">
        <is>
          <t>Team</t>
        </is>
      </c>
      <c r="F8" s="7" t="inlineStr">
        <is>
          <t>Tentative Hold</t>
        </is>
      </c>
      <c r="G8" s="11" t="inlineStr"/>
      <c r="H8" s="6" t="inlineStr">
        <is>
          <t>Temporarily reserved, awaiting confirmation</t>
        </is>
      </c>
      <c r="J8" s="6" t="inlineStr">
        <is>
          <t>Debert Arena</t>
        </is>
      </c>
    </row>
    <row r="9">
      <c r="A9" s="5" t="inlineStr">
        <is>
          <t>U9</t>
        </is>
      </c>
      <c r="B9" s="6" t="inlineStr">
        <is>
          <t>U9 Intermediate</t>
        </is>
      </c>
      <c r="C9" s="6" t="inlineStr">
        <is>
          <t>U9 - Intermediate</t>
        </is>
      </c>
      <c r="D9" s="5" t="inlineStr">
        <is>
          <t>Team</t>
        </is>
      </c>
      <c r="F9" s="7" t="inlineStr">
        <is>
          <t>Released / Dead Ice</t>
        </is>
      </c>
      <c r="G9" s="12" t="inlineStr"/>
      <c r="H9" s="6" t="inlineStr">
        <is>
          <t>Slot cancelled or returned to arena</t>
        </is>
      </c>
      <c r="J9" s="6" t="inlineStr">
        <is>
          <t>Tatamagouche</t>
        </is>
      </c>
    </row>
    <row r="10">
      <c r="A10" s="5" t="inlineStr">
        <is>
          <t>U9</t>
        </is>
      </c>
      <c r="B10" s="6" t="inlineStr">
        <is>
          <t>U9 Advanced</t>
        </is>
      </c>
      <c r="C10" s="6" t="inlineStr">
        <is>
          <t>U9 - Advanced</t>
        </is>
      </c>
      <c r="D10" s="5" t="inlineStr">
        <is>
          <t>Team</t>
        </is>
      </c>
      <c r="F10" s="7" t="inlineStr">
        <is>
          <t>TAMHA Development</t>
        </is>
      </c>
      <c r="G10" s="13" t="inlineStr"/>
      <c r="H10" s="6" t="inlineStr">
        <is>
          <t>Association-wide skills/goalie/referee sessions</t>
        </is>
      </c>
      <c r="J10" s="6" t="inlineStr">
        <is>
          <t>Oxford Arena</t>
        </is>
      </c>
    </row>
    <row r="11">
      <c r="A11" s="5" t="inlineStr">
        <is>
          <t>U9</t>
        </is>
      </c>
      <c r="B11" s="6" t="inlineStr">
        <is>
          <t>U9 Jayasinghe</t>
        </is>
      </c>
      <c r="C11" s="6" t="inlineStr">
        <is>
          <t>U9 - Jayasinghe</t>
        </is>
      </c>
      <c r="D11" s="5" t="inlineStr">
        <is>
          <t>Team</t>
        </is>
      </c>
      <c r="F11" s="7" t="inlineStr">
        <is>
          <t>Arena Conflict</t>
        </is>
      </c>
      <c r="G11" s="14" t="inlineStr"/>
      <c r="H11" s="6" t="inlineStr">
        <is>
          <t>External event (Jr A Bearcats, maintenance, outage)</t>
        </is>
      </c>
    </row>
    <row r="12">
      <c r="A12" s="5" t="inlineStr">
        <is>
          <t>U9</t>
        </is>
      </c>
      <c r="B12" s="6" t="inlineStr">
        <is>
          <t>U9 John</t>
        </is>
      </c>
      <c r="C12" s="6" t="inlineStr">
        <is>
          <t>U9 - John</t>
        </is>
      </c>
      <c r="D12" s="5" t="inlineStr">
        <is>
          <t>Team</t>
        </is>
      </c>
    </row>
    <row r="13">
      <c r="A13" s="5" t="inlineStr">
        <is>
          <t>U11</t>
        </is>
      </c>
      <c r="B13" s="6" t="inlineStr">
        <is>
          <t>U11 AA</t>
        </is>
      </c>
      <c r="C13" s="6" t="inlineStr">
        <is>
          <t>U11 AA</t>
        </is>
      </c>
      <c r="D13" s="5" t="inlineStr">
        <is>
          <t>Team</t>
        </is>
      </c>
    </row>
    <row r="14">
      <c r="A14" s="5" t="inlineStr">
        <is>
          <t>U11</t>
        </is>
      </c>
      <c r="B14" s="6" t="inlineStr">
        <is>
          <t>U11 A</t>
        </is>
      </c>
      <c r="C14" s="6" t="inlineStr">
        <is>
          <t>U11 A</t>
        </is>
      </c>
      <c r="D14" s="5" t="inlineStr">
        <is>
          <t>Team</t>
        </is>
      </c>
    </row>
    <row r="15">
      <c r="A15" s="5" t="inlineStr">
        <is>
          <t>U11</t>
        </is>
      </c>
      <c r="B15" s="6" t="inlineStr">
        <is>
          <t>U11 B</t>
        </is>
      </c>
      <c r="C15" s="6" t="inlineStr">
        <is>
          <t>U11 B</t>
        </is>
      </c>
      <c r="D15" s="5" t="inlineStr">
        <is>
          <t>Team</t>
        </is>
      </c>
    </row>
    <row r="16">
      <c r="A16" s="5" t="inlineStr">
        <is>
          <t>U11</t>
        </is>
      </c>
      <c r="B16" s="6" t="inlineStr">
        <is>
          <t>U11 C Bernard</t>
        </is>
      </c>
      <c r="C16" s="6" t="inlineStr">
        <is>
          <t>U11 C - Bernard</t>
        </is>
      </c>
      <c r="D16" s="5" t="inlineStr">
        <is>
          <t>Team</t>
        </is>
      </c>
    </row>
    <row r="17">
      <c r="A17" s="5" t="inlineStr">
        <is>
          <t>U11</t>
        </is>
      </c>
      <c r="B17" s="6" t="inlineStr">
        <is>
          <t>U11 C Simms</t>
        </is>
      </c>
      <c r="C17" s="6" t="inlineStr">
        <is>
          <t>U11 C - Simms</t>
        </is>
      </c>
      <c r="D17" s="5" t="inlineStr">
        <is>
          <t>Team</t>
        </is>
      </c>
    </row>
    <row r="18">
      <c r="A18" s="5" t="inlineStr">
        <is>
          <t>U13</t>
        </is>
      </c>
      <c r="B18" s="6" t="inlineStr">
        <is>
          <t>U13 AAA</t>
        </is>
      </c>
      <c r="C18" s="6" t="inlineStr">
        <is>
          <t>U13 AAA</t>
        </is>
      </c>
      <c r="D18" s="5" t="inlineStr">
        <is>
          <t>Team</t>
        </is>
      </c>
    </row>
    <row r="19">
      <c r="A19" s="5" t="inlineStr">
        <is>
          <t>U13</t>
        </is>
      </c>
      <c r="B19" s="6" t="inlineStr">
        <is>
          <t>U13 AA</t>
        </is>
      </c>
      <c r="C19" s="6" t="inlineStr">
        <is>
          <t>U13 AA</t>
        </is>
      </c>
      <c r="D19" s="5" t="inlineStr">
        <is>
          <t>Team</t>
        </is>
      </c>
    </row>
    <row r="20">
      <c r="A20" s="5" t="inlineStr">
        <is>
          <t>U13</t>
        </is>
      </c>
      <c r="B20" s="6" t="inlineStr">
        <is>
          <t>U13 A Malone</t>
        </is>
      </c>
      <c r="C20" s="6" t="inlineStr">
        <is>
          <t>U13 A - Malone</t>
        </is>
      </c>
      <c r="D20" s="5" t="inlineStr">
        <is>
          <t>Team</t>
        </is>
      </c>
    </row>
    <row r="21">
      <c r="A21" s="5" t="inlineStr">
        <is>
          <t>U13</t>
        </is>
      </c>
      <c r="B21" s="6" t="inlineStr">
        <is>
          <t>U13 B</t>
        </is>
      </c>
      <c r="C21" s="6" t="inlineStr">
        <is>
          <t>U13 B</t>
        </is>
      </c>
      <c r="D21" s="5" t="inlineStr">
        <is>
          <t>Team</t>
        </is>
      </c>
    </row>
    <row r="22">
      <c r="A22" s="5" t="inlineStr">
        <is>
          <t>U13</t>
        </is>
      </c>
      <c r="B22" s="6" t="inlineStr">
        <is>
          <t>U13 C Campbell</t>
        </is>
      </c>
      <c r="C22" s="6" t="inlineStr">
        <is>
          <t>U13 C - Campbell</t>
        </is>
      </c>
      <c r="D22" s="5" t="inlineStr">
        <is>
          <t>Team</t>
        </is>
      </c>
    </row>
    <row r="23">
      <c r="A23" s="5" t="inlineStr">
        <is>
          <t>U13</t>
        </is>
      </c>
      <c r="B23" s="6" t="inlineStr">
        <is>
          <t>U13 C Cameron</t>
        </is>
      </c>
      <c r="C23" s="6" t="inlineStr">
        <is>
          <t>U13 C - Cameron</t>
        </is>
      </c>
      <c r="D23" s="5" t="inlineStr">
        <is>
          <t>Team</t>
        </is>
      </c>
    </row>
    <row r="24">
      <c r="A24" s="5" t="inlineStr">
        <is>
          <t>U15</t>
        </is>
      </c>
      <c r="B24" s="6" t="inlineStr">
        <is>
          <t>U15 AA</t>
        </is>
      </c>
      <c r="C24" s="6" t="inlineStr">
        <is>
          <t>U15 AA</t>
        </is>
      </c>
      <c r="D24" s="5" t="inlineStr">
        <is>
          <t>Team</t>
        </is>
      </c>
    </row>
    <row r="25">
      <c r="A25" s="5" t="inlineStr">
        <is>
          <t>U15</t>
        </is>
      </c>
      <c r="B25" s="6" t="inlineStr">
        <is>
          <t>U15 A</t>
        </is>
      </c>
      <c r="C25" s="6" t="inlineStr">
        <is>
          <t>U15 A</t>
        </is>
      </c>
      <c r="D25" s="5" t="inlineStr">
        <is>
          <t>Team</t>
        </is>
      </c>
    </row>
    <row r="26">
      <c r="A26" s="5" t="inlineStr">
        <is>
          <t>U15</t>
        </is>
      </c>
      <c r="B26" s="6" t="inlineStr">
        <is>
          <t>U15 C Bernard</t>
        </is>
      </c>
      <c r="C26" s="6" t="inlineStr">
        <is>
          <t>U15 C - Bernard</t>
        </is>
      </c>
      <c r="D26" s="5" t="inlineStr">
        <is>
          <t>Team</t>
        </is>
      </c>
    </row>
    <row r="27">
      <c r="A27" s="5" t="inlineStr">
        <is>
          <t>U15</t>
        </is>
      </c>
      <c r="B27" s="6" t="inlineStr">
        <is>
          <t>U15 C Campbell</t>
        </is>
      </c>
      <c r="C27" s="6" t="inlineStr">
        <is>
          <t>U15 C - Campbell</t>
        </is>
      </c>
      <c r="D27" s="5" t="inlineStr">
        <is>
          <t>Team</t>
        </is>
      </c>
    </row>
    <row r="28">
      <c r="A28" s="5" t="inlineStr">
        <is>
          <t>U18</t>
        </is>
      </c>
      <c r="B28" s="6" t="inlineStr">
        <is>
          <t>U18 AA</t>
        </is>
      </c>
      <c r="C28" s="6" t="inlineStr">
        <is>
          <t>U18 AA</t>
        </is>
      </c>
      <c r="D28" s="5" t="inlineStr">
        <is>
          <t>Team</t>
        </is>
      </c>
    </row>
    <row r="29">
      <c r="A29" s="5" t="inlineStr">
        <is>
          <t>U18</t>
        </is>
      </c>
      <c r="B29" s="6" t="inlineStr">
        <is>
          <t>U18 A</t>
        </is>
      </c>
      <c r="C29" s="6" t="inlineStr">
        <is>
          <t>U18 A</t>
        </is>
      </c>
      <c r="D29" s="5" t="inlineStr">
        <is>
          <t>Team</t>
        </is>
      </c>
    </row>
    <row r="30">
      <c r="A30" s="5" t="inlineStr">
        <is>
          <t>U18</t>
        </is>
      </c>
      <c r="B30" s="6" t="inlineStr">
        <is>
          <t>U18 C Masters</t>
        </is>
      </c>
      <c r="C30" s="6" t="inlineStr">
        <is>
          <t>U18 C - Masters</t>
        </is>
      </c>
      <c r="D30" s="5" t="inlineStr">
        <is>
          <t>Team</t>
        </is>
      </c>
    </row>
    <row r="31">
      <c r="A31" s="5" t="inlineStr">
        <is>
          <t>U18</t>
        </is>
      </c>
      <c r="B31" s="6" t="inlineStr">
        <is>
          <t>U18 C Wood</t>
        </is>
      </c>
      <c r="C31" s="6" t="inlineStr">
        <is>
          <t>U18 C - Wood</t>
        </is>
      </c>
      <c r="D31" s="5" t="inlineStr">
        <is>
          <t>Team</t>
        </is>
      </c>
    </row>
    <row r="32">
      <c r="A32" s="5" t="inlineStr">
        <is>
          <t>Assoc</t>
        </is>
      </c>
      <c r="B32" s="6" t="inlineStr">
        <is>
          <t>TAMHA Skills Development</t>
        </is>
      </c>
      <c r="C32" s="6" t="inlineStr">
        <is>
          <t>Dev - TAMHA Skills</t>
        </is>
      </c>
      <c r="D32" s="5" t="inlineStr">
        <is>
          <t>Development</t>
        </is>
      </c>
    </row>
    <row r="33">
      <c r="A33" s="5" t="inlineStr">
        <is>
          <t>Assoc</t>
        </is>
      </c>
      <c r="B33" s="6" t="inlineStr">
        <is>
          <t>Goalie Clinic</t>
        </is>
      </c>
      <c r="C33" s="6" t="inlineStr">
        <is>
          <t>Dev - Goalie Clinic</t>
        </is>
      </c>
      <c r="D33" s="5" t="inlineStr">
        <is>
          <t>Development</t>
        </is>
      </c>
    </row>
    <row r="34">
      <c r="A34" s="5" t="inlineStr">
        <is>
          <t>Assoc</t>
        </is>
      </c>
      <c r="B34" s="6" t="inlineStr">
        <is>
          <t>Defense Clinic</t>
        </is>
      </c>
      <c r="C34" s="6" t="inlineStr">
        <is>
          <t>Dev - Defense Clinic</t>
        </is>
      </c>
      <c r="D34" s="5" t="inlineStr">
        <is>
          <t>Development</t>
        </is>
      </c>
    </row>
    <row r="35">
      <c r="A35" s="5" t="inlineStr">
        <is>
          <t>Assoc</t>
        </is>
      </c>
      <c r="B35" s="6" t="inlineStr">
        <is>
          <t>Officials / Referees</t>
        </is>
      </c>
      <c r="C35" s="6" t="inlineStr">
        <is>
          <t>Clinic - Officials</t>
        </is>
      </c>
      <c r="D35" s="5" t="inlineStr">
        <is>
          <t>Clinic</t>
        </is>
      </c>
    </row>
    <row r="36">
      <c r="A36" s="5" t="inlineStr">
        <is>
          <t>External</t>
        </is>
      </c>
      <c r="B36" s="6" t="inlineStr">
        <is>
          <t>Truro Jr A Bearcats</t>
        </is>
      </c>
      <c r="C36" s="6" t="inlineStr">
        <is>
          <t>External - Jr A Bearcats</t>
        </is>
      </c>
      <c r="D36" s="5" t="inlineStr">
        <is>
          <t>External</t>
        </is>
      </c>
    </row>
    <row r="37">
      <c r="A37" s="5" t="inlineStr">
        <is>
          <t>External</t>
        </is>
      </c>
      <c r="B37" s="6" t="inlineStr">
        <is>
          <t>Senior League Game</t>
        </is>
      </c>
      <c r="C37" s="6" t="inlineStr">
        <is>
          <t>External - Senior Game</t>
        </is>
      </c>
      <c r="D37" s="5" t="inlineStr">
        <is>
          <t>External</t>
        </is>
      </c>
    </row>
    <row r="38">
      <c r="A38" s="5" t="inlineStr">
        <is>
          <t>External</t>
        </is>
      </c>
      <c r="B38" s="6" t="inlineStr">
        <is>
          <t>High School Hockey</t>
        </is>
      </c>
      <c r="C38" s="6" t="inlineStr">
        <is>
          <t>External - High School</t>
        </is>
      </c>
      <c r="D38" s="5" t="inlineStr">
        <is>
          <t>External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1:P42"/>
  <sheetViews>
    <sheetView workbookViewId="0">
      <selection activeCell="A1" sqref="A1"/>
    </sheetView>
  </sheetViews>
  <sheetFormatPr baseColWidth="8" defaultRowHeight="15"/>
  <cols>
    <col width="13" customWidth="1" min="2" max="2"/>
    <col width="22" customWidth="1" min="3" max="3"/>
    <col width="20" customWidth="1" min="4" max="4"/>
    <col width="13" customWidth="1" min="5" max="5"/>
    <col width="22" customWidth="1" min="6" max="6"/>
    <col width="20" customWidth="1" min="7" max="7"/>
    <col width="13" customWidth="1" min="8" max="8"/>
    <col width="22" customWidth="1" min="9" max="9"/>
    <col width="20" customWidth="1" min="10" max="10"/>
    <col width="13" customWidth="1" min="11" max="11"/>
    <col width="22" customWidth="1" min="12" max="12"/>
    <col width="20" customWidth="1" min="13" max="13"/>
    <col width="13" customWidth="1" min="14" max="14"/>
    <col width="22" customWidth="1" min="15" max="15"/>
    <col width="20" customWidth="1" min="16" max="16"/>
  </cols>
  <sheetData>
    <row r="1">
      <c r="B1" s="1" t="inlineStr">
        <is>
          <t>TAMHA WEEKDAY ICE SCHEDULE</t>
        </is>
      </c>
    </row>
    <row r="2">
      <c r="B2" s="15" t="inlineStr">
        <is>
          <t>Week: Monday to Friday</t>
        </is>
      </c>
    </row>
    <row r="4">
      <c r="B4" s="16" t="inlineStr">
        <is>
          <t>VENUE: TRURO STADIUM</t>
        </is>
      </c>
    </row>
    <row r="5">
      <c r="B5" s="17" t="inlineStr">
        <is>
          <t>Monday</t>
        </is>
      </c>
      <c r="E5" s="17" t="inlineStr">
        <is>
          <t>Tuesday</t>
        </is>
      </c>
      <c r="H5" s="17" t="inlineStr">
        <is>
          <t>Wednesday</t>
        </is>
      </c>
      <c r="K5" s="17" t="inlineStr">
        <is>
          <t>Thursday</t>
        </is>
      </c>
      <c r="N5" s="17" t="inlineStr">
        <is>
          <t>Friday</t>
        </is>
      </c>
    </row>
    <row r="6">
      <c r="B6" s="18" t="inlineStr">
        <is>
          <t>Time</t>
        </is>
      </c>
      <c r="C6" s="18" t="inlineStr">
        <is>
          <t>Team / User</t>
        </is>
      </c>
      <c r="D6" s="18" t="inlineStr">
        <is>
          <t>Status</t>
        </is>
      </c>
      <c r="E6" s="18" t="inlineStr">
        <is>
          <t>Time</t>
        </is>
      </c>
      <c r="F6" s="18" t="inlineStr">
        <is>
          <t>Team / User</t>
        </is>
      </c>
      <c r="G6" s="18" t="inlineStr">
        <is>
          <t>Status</t>
        </is>
      </c>
      <c r="H6" s="18" t="inlineStr">
        <is>
          <t>Time</t>
        </is>
      </c>
      <c r="I6" s="18" t="inlineStr">
        <is>
          <t>Team / User</t>
        </is>
      </c>
      <c r="J6" s="18" t="inlineStr">
        <is>
          <t>Status</t>
        </is>
      </c>
      <c r="K6" s="18" t="inlineStr">
        <is>
          <t>Time</t>
        </is>
      </c>
      <c r="L6" s="18" t="inlineStr">
        <is>
          <t>Team / User</t>
        </is>
      </c>
      <c r="M6" s="18" t="inlineStr">
        <is>
          <t>Status</t>
        </is>
      </c>
      <c r="N6" s="18" t="inlineStr">
        <is>
          <t>Time</t>
        </is>
      </c>
      <c r="O6" s="18" t="inlineStr">
        <is>
          <t>Team / User</t>
        </is>
      </c>
      <c r="P6" s="18" t="inlineStr">
        <is>
          <t>Status</t>
        </is>
      </c>
    </row>
    <row r="7">
      <c r="B7" s="5" t="inlineStr">
        <is>
          <t>5:00-5:50</t>
        </is>
      </c>
      <c r="C7" s="6" t="inlineStr"/>
      <c r="D7" s="6" t="inlineStr">
        <is>
          <t>Open / Available</t>
        </is>
      </c>
      <c r="E7" s="5" t="inlineStr">
        <is>
          <t>5:00-5:50</t>
        </is>
      </c>
      <c r="F7" s="6" t="inlineStr"/>
      <c r="G7" s="6" t="inlineStr">
        <is>
          <t>Open / Available</t>
        </is>
      </c>
      <c r="H7" s="5" t="inlineStr">
        <is>
          <t>5:00-5:50</t>
        </is>
      </c>
      <c r="I7" s="6" t="inlineStr"/>
      <c r="J7" s="6" t="inlineStr">
        <is>
          <t>Open / Available</t>
        </is>
      </c>
      <c r="K7" s="5" t="inlineStr">
        <is>
          <t>5:00-5:50</t>
        </is>
      </c>
      <c r="L7" s="6" t="inlineStr"/>
      <c r="M7" s="6" t="inlineStr">
        <is>
          <t>Open / Available</t>
        </is>
      </c>
      <c r="N7" s="5" t="inlineStr">
        <is>
          <t>5:00-5:50</t>
        </is>
      </c>
      <c r="O7" s="6" t="inlineStr"/>
      <c r="P7" s="6" t="inlineStr">
        <is>
          <t>Open / Available</t>
        </is>
      </c>
    </row>
    <row r="8">
      <c r="B8" s="5" t="inlineStr">
        <is>
          <t>6:00-6:50</t>
        </is>
      </c>
      <c r="C8" s="6" t="inlineStr"/>
      <c r="D8" s="6" t="inlineStr">
        <is>
          <t>Open / Available</t>
        </is>
      </c>
      <c r="E8" s="5" t="inlineStr">
        <is>
          <t>6:00-6:50</t>
        </is>
      </c>
      <c r="F8" s="6" t="inlineStr"/>
      <c r="G8" s="6" t="inlineStr">
        <is>
          <t>Open / Available</t>
        </is>
      </c>
      <c r="H8" s="5" t="inlineStr">
        <is>
          <t>6:00-6:50</t>
        </is>
      </c>
      <c r="I8" s="6" t="inlineStr"/>
      <c r="J8" s="6" t="inlineStr">
        <is>
          <t>Open / Available</t>
        </is>
      </c>
      <c r="K8" s="5" t="inlineStr">
        <is>
          <t>6:00-6:50</t>
        </is>
      </c>
      <c r="L8" s="6" t="inlineStr"/>
      <c r="M8" s="6" t="inlineStr">
        <is>
          <t>Open / Available</t>
        </is>
      </c>
      <c r="N8" s="5" t="inlineStr">
        <is>
          <t>6:00-6:50</t>
        </is>
      </c>
      <c r="O8" s="6" t="inlineStr"/>
      <c r="P8" s="6" t="inlineStr">
        <is>
          <t>Open / Available</t>
        </is>
      </c>
    </row>
    <row r="9">
      <c r="B9" s="5" t="inlineStr">
        <is>
          <t>7:00-7:50</t>
        </is>
      </c>
      <c r="C9" s="6" t="inlineStr"/>
      <c r="D9" s="6" t="inlineStr">
        <is>
          <t>Open / Available</t>
        </is>
      </c>
      <c r="E9" s="5" t="inlineStr">
        <is>
          <t>7:00-7:50</t>
        </is>
      </c>
      <c r="F9" s="6" t="inlineStr"/>
      <c r="G9" s="6" t="inlineStr">
        <is>
          <t>Open / Available</t>
        </is>
      </c>
      <c r="H9" s="5" t="inlineStr">
        <is>
          <t>7:00-7:50</t>
        </is>
      </c>
      <c r="I9" s="6" t="inlineStr"/>
      <c r="J9" s="6" t="inlineStr">
        <is>
          <t>Open / Available</t>
        </is>
      </c>
      <c r="K9" s="5" t="inlineStr">
        <is>
          <t>7:00-7:50</t>
        </is>
      </c>
      <c r="L9" s="6" t="inlineStr"/>
      <c r="M9" s="6" t="inlineStr">
        <is>
          <t>Open / Available</t>
        </is>
      </c>
      <c r="N9" s="5" t="inlineStr">
        <is>
          <t>7:00-7:50</t>
        </is>
      </c>
      <c r="O9" s="6" t="inlineStr"/>
      <c r="P9" s="6" t="inlineStr">
        <is>
          <t>Open / Available</t>
        </is>
      </c>
    </row>
    <row r="10">
      <c r="B10" s="5" t="inlineStr">
        <is>
          <t>8:00-8:50</t>
        </is>
      </c>
      <c r="C10" s="6" t="inlineStr"/>
      <c r="D10" s="6" t="inlineStr">
        <is>
          <t>Open / Available</t>
        </is>
      </c>
      <c r="E10" s="5" t="inlineStr">
        <is>
          <t>8:00-8:50</t>
        </is>
      </c>
      <c r="F10" s="6" t="inlineStr"/>
      <c r="G10" s="6" t="inlineStr">
        <is>
          <t>Open / Available</t>
        </is>
      </c>
      <c r="H10" s="5" t="inlineStr">
        <is>
          <t>8:00-8:50</t>
        </is>
      </c>
      <c r="I10" s="6" t="inlineStr"/>
      <c r="J10" s="6" t="inlineStr">
        <is>
          <t>Open / Available</t>
        </is>
      </c>
      <c r="K10" s="5" t="inlineStr">
        <is>
          <t>8:00-8:50</t>
        </is>
      </c>
      <c r="L10" s="6" t="inlineStr"/>
      <c r="M10" s="6" t="inlineStr">
        <is>
          <t>Open / Available</t>
        </is>
      </c>
      <c r="N10" s="5" t="inlineStr">
        <is>
          <t>8:00-8:50</t>
        </is>
      </c>
      <c r="O10" s="6" t="inlineStr"/>
      <c r="P10" s="6" t="inlineStr">
        <is>
          <t>Open / Available</t>
        </is>
      </c>
    </row>
    <row r="11">
      <c r="B11" s="5" t="inlineStr">
        <is>
          <t>9:00-9:50</t>
        </is>
      </c>
      <c r="C11" s="6" t="inlineStr"/>
      <c r="D11" s="6" t="inlineStr">
        <is>
          <t>Open / Available</t>
        </is>
      </c>
      <c r="E11" s="5" t="inlineStr">
        <is>
          <t>9:00-9:50</t>
        </is>
      </c>
      <c r="F11" s="6" t="inlineStr"/>
      <c r="G11" s="6" t="inlineStr">
        <is>
          <t>Open / Available</t>
        </is>
      </c>
      <c r="H11" s="5" t="inlineStr">
        <is>
          <t>9:00-9:50</t>
        </is>
      </c>
      <c r="I11" s="6" t="inlineStr"/>
      <c r="J11" s="6" t="inlineStr">
        <is>
          <t>Open / Available</t>
        </is>
      </c>
      <c r="K11" s="5" t="inlineStr">
        <is>
          <t>9:00-9:50</t>
        </is>
      </c>
      <c r="L11" s="6" t="inlineStr"/>
      <c r="M11" s="6" t="inlineStr">
        <is>
          <t>Open / Available</t>
        </is>
      </c>
      <c r="N11" s="5" t="inlineStr">
        <is>
          <t>9:00-9:50</t>
        </is>
      </c>
      <c r="O11" s="6" t="inlineStr"/>
      <c r="P11" s="6" t="inlineStr">
        <is>
          <t>Open / Available</t>
        </is>
      </c>
    </row>
    <row r="12">
      <c r="B12" s="5" t="inlineStr">
        <is>
          <t>10:00-10:50</t>
        </is>
      </c>
      <c r="C12" s="6" t="inlineStr"/>
      <c r="D12" s="6" t="inlineStr">
        <is>
          <t>Open / Available</t>
        </is>
      </c>
      <c r="E12" s="5" t="inlineStr">
        <is>
          <t>10:00-10:50</t>
        </is>
      </c>
      <c r="F12" s="6" t="inlineStr"/>
      <c r="G12" s="6" t="inlineStr">
        <is>
          <t>Open / Available</t>
        </is>
      </c>
      <c r="H12" s="5" t="inlineStr">
        <is>
          <t>10:00-10:50</t>
        </is>
      </c>
      <c r="I12" s="6" t="inlineStr"/>
      <c r="J12" s="6" t="inlineStr">
        <is>
          <t>Open / Available</t>
        </is>
      </c>
      <c r="K12" s="5" t="inlineStr">
        <is>
          <t>10:00-10:50</t>
        </is>
      </c>
      <c r="L12" s="6" t="inlineStr"/>
      <c r="M12" s="6" t="inlineStr">
        <is>
          <t>Open / Available</t>
        </is>
      </c>
      <c r="N12" s="5" t="inlineStr">
        <is>
          <t>10:00-10:50</t>
        </is>
      </c>
      <c r="O12" s="6" t="inlineStr"/>
      <c r="P12" s="6" t="inlineStr">
        <is>
          <t>Open / Available</t>
        </is>
      </c>
    </row>
    <row r="14">
      <c r="B14" s="16" t="inlineStr">
        <is>
          <t>VENUE: RECC</t>
        </is>
      </c>
    </row>
    <row r="15">
      <c r="B15" s="17" t="inlineStr">
        <is>
          <t>Monday</t>
        </is>
      </c>
      <c r="E15" s="17" t="inlineStr">
        <is>
          <t>Tuesday</t>
        </is>
      </c>
      <c r="H15" s="17" t="inlineStr">
        <is>
          <t>Wednesday</t>
        </is>
      </c>
      <c r="K15" s="17" t="inlineStr">
        <is>
          <t>Thursday</t>
        </is>
      </c>
      <c r="N15" s="17" t="inlineStr">
        <is>
          <t>Friday</t>
        </is>
      </c>
    </row>
    <row r="16">
      <c r="B16" s="18" t="inlineStr">
        <is>
          <t>Time</t>
        </is>
      </c>
      <c r="C16" s="18" t="inlineStr">
        <is>
          <t>Team / User</t>
        </is>
      </c>
      <c r="D16" s="18" t="inlineStr">
        <is>
          <t>Status</t>
        </is>
      </c>
      <c r="E16" s="18" t="inlineStr">
        <is>
          <t>Time</t>
        </is>
      </c>
      <c r="F16" s="18" t="inlineStr">
        <is>
          <t>Team / User</t>
        </is>
      </c>
      <c r="G16" s="18" t="inlineStr">
        <is>
          <t>Status</t>
        </is>
      </c>
      <c r="H16" s="18" t="inlineStr">
        <is>
          <t>Time</t>
        </is>
      </c>
      <c r="I16" s="18" t="inlineStr">
        <is>
          <t>Team / User</t>
        </is>
      </c>
      <c r="J16" s="18" t="inlineStr">
        <is>
          <t>Status</t>
        </is>
      </c>
      <c r="K16" s="18" t="inlineStr">
        <is>
          <t>Time</t>
        </is>
      </c>
      <c r="L16" s="18" t="inlineStr">
        <is>
          <t>Team / User</t>
        </is>
      </c>
      <c r="M16" s="18" t="inlineStr">
        <is>
          <t>Status</t>
        </is>
      </c>
      <c r="N16" s="18" t="inlineStr">
        <is>
          <t>Time</t>
        </is>
      </c>
      <c r="O16" s="18" t="inlineStr">
        <is>
          <t>Team / User</t>
        </is>
      </c>
      <c r="P16" s="18" t="inlineStr">
        <is>
          <t>Status</t>
        </is>
      </c>
    </row>
    <row r="17">
      <c r="B17" s="5" t="inlineStr">
        <is>
          <t>5:00-5:50</t>
        </is>
      </c>
      <c r="C17" s="6" t="inlineStr"/>
      <c r="D17" s="6" t="inlineStr">
        <is>
          <t>Open / Available</t>
        </is>
      </c>
      <c r="E17" s="5" t="inlineStr">
        <is>
          <t>5:00-5:50</t>
        </is>
      </c>
      <c r="F17" s="6" t="inlineStr"/>
      <c r="G17" s="6" t="inlineStr">
        <is>
          <t>Open / Available</t>
        </is>
      </c>
      <c r="H17" s="5" t="inlineStr">
        <is>
          <t>5:00-5:50</t>
        </is>
      </c>
      <c r="I17" s="6" t="inlineStr"/>
      <c r="J17" s="6" t="inlineStr">
        <is>
          <t>Open / Available</t>
        </is>
      </c>
      <c r="K17" s="5" t="inlineStr">
        <is>
          <t>5:00-5:50</t>
        </is>
      </c>
      <c r="L17" s="6" t="inlineStr"/>
      <c r="M17" s="6" t="inlineStr">
        <is>
          <t>Open / Available</t>
        </is>
      </c>
      <c r="N17" s="5" t="inlineStr">
        <is>
          <t>5:00-5:50</t>
        </is>
      </c>
      <c r="O17" s="6" t="inlineStr"/>
      <c r="P17" s="6" t="inlineStr">
        <is>
          <t>Open / Available</t>
        </is>
      </c>
    </row>
    <row r="18">
      <c r="B18" s="5" t="inlineStr">
        <is>
          <t>6:00-6:50</t>
        </is>
      </c>
      <c r="C18" s="6" t="inlineStr"/>
      <c r="D18" s="6" t="inlineStr">
        <is>
          <t>Open / Available</t>
        </is>
      </c>
      <c r="E18" s="5" t="inlineStr">
        <is>
          <t>6:00-6:50</t>
        </is>
      </c>
      <c r="F18" s="6" t="inlineStr"/>
      <c r="G18" s="6" t="inlineStr">
        <is>
          <t>Open / Available</t>
        </is>
      </c>
      <c r="H18" s="5" t="inlineStr">
        <is>
          <t>6:00-6:50</t>
        </is>
      </c>
      <c r="I18" s="6" t="inlineStr"/>
      <c r="J18" s="6" t="inlineStr">
        <is>
          <t>Open / Available</t>
        </is>
      </c>
      <c r="K18" s="5" t="inlineStr">
        <is>
          <t>6:00-6:50</t>
        </is>
      </c>
      <c r="L18" s="6" t="inlineStr"/>
      <c r="M18" s="6" t="inlineStr">
        <is>
          <t>Open / Available</t>
        </is>
      </c>
      <c r="N18" s="5" t="inlineStr">
        <is>
          <t>6:00-6:50</t>
        </is>
      </c>
      <c r="O18" s="6" t="inlineStr"/>
      <c r="P18" s="6" t="inlineStr">
        <is>
          <t>Open / Available</t>
        </is>
      </c>
    </row>
    <row r="19">
      <c r="B19" s="5" t="inlineStr">
        <is>
          <t>7:00-7:50</t>
        </is>
      </c>
      <c r="C19" s="6" t="inlineStr"/>
      <c r="D19" s="6" t="inlineStr">
        <is>
          <t>Open / Available</t>
        </is>
      </c>
      <c r="E19" s="5" t="inlineStr">
        <is>
          <t>7:00-7:50</t>
        </is>
      </c>
      <c r="F19" s="6" t="inlineStr"/>
      <c r="G19" s="6" t="inlineStr">
        <is>
          <t>Open / Available</t>
        </is>
      </c>
      <c r="H19" s="5" t="inlineStr">
        <is>
          <t>7:00-7:50</t>
        </is>
      </c>
      <c r="I19" s="6" t="inlineStr"/>
      <c r="J19" s="6" t="inlineStr">
        <is>
          <t>Open / Available</t>
        </is>
      </c>
      <c r="K19" s="5" t="inlineStr">
        <is>
          <t>7:00-7:50</t>
        </is>
      </c>
      <c r="L19" s="6" t="inlineStr"/>
      <c r="M19" s="6" t="inlineStr">
        <is>
          <t>Open / Available</t>
        </is>
      </c>
      <c r="N19" s="5" t="inlineStr">
        <is>
          <t>7:00-7:50</t>
        </is>
      </c>
      <c r="O19" s="6" t="inlineStr"/>
      <c r="P19" s="6" t="inlineStr">
        <is>
          <t>Open / Available</t>
        </is>
      </c>
    </row>
    <row r="20">
      <c r="B20" s="5" t="inlineStr">
        <is>
          <t>8:00-8:50</t>
        </is>
      </c>
      <c r="C20" s="6" t="inlineStr"/>
      <c r="D20" s="6" t="inlineStr">
        <is>
          <t>Open / Available</t>
        </is>
      </c>
      <c r="E20" s="5" t="inlineStr">
        <is>
          <t>8:00-8:50</t>
        </is>
      </c>
      <c r="F20" s="6" t="inlineStr"/>
      <c r="G20" s="6" t="inlineStr">
        <is>
          <t>Open / Available</t>
        </is>
      </c>
      <c r="H20" s="5" t="inlineStr">
        <is>
          <t>8:00-8:50</t>
        </is>
      </c>
      <c r="I20" s="6" t="inlineStr"/>
      <c r="J20" s="6" t="inlineStr">
        <is>
          <t>Open / Available</t>
        </is>
      </c>
      <c r="K20" s="5" t="inlineStr">
        <is>
          <t>8:00-8:50</t>
        </is>
      </c>
      <c r="L20" s="6" t="inlineStr"/>
      <c r="M20" s="6" t="inlineStr">
        <is>
          <t>Open / Available</t>
        </is>
      </c>
      <c r="N20" s="5" t="inlineStr">
        <is>
          <t>8:00-8:50</t>
        </is>
      </c>
      <c r="O20" s="6" t="inlineStr"/>
      <c r="P20" s="6" t="inlineStr">
        <is>
          <t>Open / Available</t>
        </is>
      </c>
    </row>
    <row r="21">
      <c r="B21" s="5" t="inlineStr">
        <is>
          <t>9:00-9:50</t>
        </is>
      </c>
      <c r="C21" s="6" t="inlineStr"/>
      <c r="D21" s="6" t="inlineStr">
        <is>
          <t>Open / Available</t>
        </is>
      </c>
      <c r="E21" s="5" t="inlineStr">
        <is>
          <t>9:00-9:50</t>
        </is>
      </c>
      <c r="F21" s="6" t="inlineStr"/>
      <c r="G21" s="6" t="inlineStr">
        <is>
          <t>Open / Available</t>
        </is>
      </c>
      <c r="H21" s="5" t="inlineStr">
        <is>
          <t>9:00-9:50</t>
        </is>
      </c>
      <c r="I21" s="6" t="inlineStr"/>
      <c r="J21" s="6" t="inlineStr">
        <is>
          <t>Open / Available</t>
        </is>
      </c>
      <c r="K21" s="5" t="inlineStr">
        <is>
          <t>9:00-9:50</t>
        </is>
      </c>
      <c r="L21" s="6" t="inlineStr"/>
      <c r="M21" s="6" t="inlineStr">
        <is>
          <t>Open / Available</t>
        </is>
      </c>
      <c r="N21" s="5" t="inlineStr">
        <is>
          <t>9:00-9:50</t>
        </is>
      </c>
      <c r="O21" s="6" t="inlineStr"/>
      <c r="P21" s="6" t="inlineStr">
        <is>
          <t>Open / Available</t>
        </is>
      </c>
    </row>
    <row r="22">
      <c r="B22" s="5" t="inlineStr">
        <is>
          <t>10:00-10:50</t>
        </is>
      </c>
      <c r="C22" s="6" t="inlineStr"/>
      <c r="D22" s="6" t="inlineStr">
        <is>
          <t>Open / Available</t>
        </is>
      </c>
      <c r="E22" s="5" t="inlineStr">
        <is>
          <t>10:00-10:50</t>
        </is>
      </c>
      <c r="F22" s="6" t="inlineStr"/>
      <c r="G22" s="6" t="inlineStr">
        <is>
          <t>Open / Available</t>
        </is>
      </c>
      <c r="H22" s="5" t="inlineStr">
        <is>
          <t>10:00-10:50</t>
        </is>
      </c>
      <c r="I22" s="6" t="inlineStr"/>
      <c r="J22" s="6" t="inlineStr">
        <is>
          <t>Open / Available</t>
        </is>
      </c>
      <c r="K22" s="5" t="inlineStr">
        <is>
          <t>10:00-10:50</t>
        </is>
      </c>
      <c r="L22" s="6" t="inlineStr"/>
      <c r="M22" s="6" t="inlineStr">
        <is>
          <t>Open / Available</t>
        </is>
      </c>
      <c r="N22" s="5" t="inlineStr">
        <is>
          <t>10:00-10:50</t>
        </is>
      </c>
      <c r="O22" s="6" t="inlineStr"/>
      <c r="P22" s="6" t="inlineStr">
        <is>
          <t>Open / Available</t>
        </is>
      </c>
    </row>
    <row r="24">
      <c r="B24" s="16" t="inlineStr">
        <is>
          <t>VENUE: DEUVILLES</t>
        </is>
      </c>
    </row>
    <row r="25">
      <c r="B25" s="17" t="inlineStr">
        <is>
          <t>Monday</t>
        </is>
      </c>
      <c r="E25" s="17" t="inlineStr">
        <is>
          <t>Tuesday</t>
        </is>
      </c>
      <c r="H25" s="17" t="inlineStr">
        <is>
          <t>Wednesday</t>
        </is>
      </c>
      <c r="K25" s="17" t="inlineStr">
        <is>
          <t>Thursday</t>
        </is>
      </c>
      <c r="N25" s="17" t="inlineStr">
        <is>
          <t>Friday</t>
        </is>
      </c>
    </row>
    <row r="26">
      <c r="B26" s="18" t="inlineStr">
        <is>
          <t>Time</t>
        </is>
      </c>
      <c r="C26" s="18" t="inlineStr">
        <is>
          <t>Team / User</t>
        </is>
      </c>
      <c r="D26" s="18" t="inlineStr">
        <is>
          <t>Status</t>
        </is>
      </c>
      <c r="E26" s="18" t="inlineStr">
        <is>
          <t>Time</t>
        </is>
      </c>
      <c r="F26" s="18" t="inlineStr">
        <is>
          <t>Team / User</t>
        </is>
      </c>
      <c r="G26" s="18" t="inlineStr">
        <is>
          <t>Status</t>
        </is>
      </c>
      <c r="H26" s="18" t="inlineStr">
        <is>
          <t>Time</t>
        </is>
      </c>
      <c r="I26" s="18" t="inlineStr">
        <is>
          <t>Team / User</t>
        </is>
      </c>
      <c r="J26" s="18" t="inlineStr">
        <is>
          <t>Status</t>
        </is>
      </c>
      <c r="K26" s="18" t="inlineStr">
        <is>
          <t>Time</t>
        </is>
      </c>
      <c r="L26" s="18" t="inlineStr">
        <is>
          <t>Team / User</t>
        </is>
      </c>
      <c r="M26" s="18" t="inlineStr">
        <is>
          <t>Status</t>
        </is>
      </c>
      <c r="N26" s="18" t="inlineStr">
        <is>
          <t>Time</t>
        </is>
      </c>
      <c r="O26" s="18" t="inlineStr">
        <is>
          <t>Team / User</t>
        </is>
      </c>
      <c r="P26" s="18" t="inlineStr">
        <is>
          <t>Status</t>
        </is>
      </c>
    </row>
    <row r="27">
      <c r="B27" s="5" t="inlineStr">
        <is>
          <t>5:00-5:50</t>
        </is>
      </c>
      <c r="C27" s="6" t="inlineStr"/>
      <c r="D27" s="6" t="inlineStr">
        <is>
          <t>Open / Available</t>
        </is>
      </c>
      <c r="E27" s="5" t="inlineStr">
        <is>
          <t>5:00-5:50</t>
        </is>
      </c>
      <c r="F27" s="6" t="inlineStr"/>
      <c r="G27" s="6" t="inlineStr">
        <is>
          <t>Open / Available</t>
        </is>
      </c>
      <c r="H27" s="5" t="inlineStr">
        <is>
          <t>5:00-5:50</t>
        </is>
      </c>
      <c r="I27" s="6" t="inlineStr"/>
      <c r="J27" s="6" t="inlineStr">
        <is>
          <t>Open / Available</t>
        </is>
      </c>
      <c r="K27" s="5" t="inlineStr">
        <is>
          <t>5:00-5:50</t>
        </is>
      </c>
      <c r="L27" s="6" t="inlineStr"/>
      <c r="M27" s="6" t="inlineStr">
        <is>
          <t>Open / Available</t>
        </is>
      </c>
      <c r="N27" s="5" t="inlineStr">
        <is>
          <t>5:00-5:50</t>
        </is>
      </c>
      <c r="O27" s="6" t="inlineStr"/>
      <c r="P27" s="6" t="inlineStr">
        <is>
          <t>Open / Available</t>
        </is>
      </c>
    </row>
    <row r="28">
      <c r="B28" s="5" t="inlineStr">
        <is>
          <t>6:00-6:50</t>
        </is>
      </c>
      <c r="C28" s="6" t="inlineStr"/>
      <c r="D28" s="6" t="inlineStr">
        <is>
          <t>Open / Available</t>
        </is>
      </c>
      <c r="E28" s="5" t="inlineStr">
        <is>
          <t>6:00-6:50</t>
        </is>
      </c>
      <c r="F28" s="6" t="inlineStr"/>
      <c r="G28" s="6" t="inlineStr">
        <is>
          <t>Open / Available</t>
        </is>
      </c>
      <c r="H28" s="5" t="inlineStr">
        <is>
          <t>6:00-6:50</t>
        </is>
      </c>
      <c r="I28" s="6" t="inlineStr"/>
      <c r="J28" s="6" t="inlineStr">
        <is>
          <t>Open / Available</t>
        </is>
      </c>
      <c r="K28" s="5" t="inlineStr">
        <is>
          <t>6:00-6:50</t>
        </is>
      </c>
      <c r="L28" s="6" t="inlineStr"/>
      <c r="M28" s="6" t="inlineStr">
        <is>
          <t>Open / Available</t>
        </is>
      </c>
      <c r="N28" s="5" t="inlineStr">
        <is>
          <t>6:00-6:50</t>
        </is>
      </c>
      <c r="O28" s="6" t="inlineStr"/>
      <c r="P28" s="6" t="inlineStr">
        <is>
          <t>Open / Available</t>
        </is>
      </c>
    </row>
    <row r="29">
      <c r="B29" s="5" t="inlineStr">
        <is>
          <t>7:00-7:50</t>
        </is>
      </c>
      <c r="C29" s="6" t="inlineStr"/>
      <c r="D29" s="6" t="inlineStr">
        <is>
          <t>Open / Available</t>
        </is>
      </c>
      <c r="E29" s="5" t="inlineStr">
        <is>
          <t>7:00-7:50</t>
        </is>
      </c>
      <c r="F29" s="6" t="inlineStr"/>
      <c r="G29" s="6" t="inlineStr">
        <is>
          <t>Open / Available</t>
        </is>
      </c>
      <c r="H29" s="5" t="inlineStr">
        <is>
          <t>7:00-7:50</t>
        </is>
      </c>
      <c r="I29" s="6" t="inlineStr"/>
      <c r="J29" s="6" t="inlineStr">
        <is>
          <t>Open / Available</t>
        </is>
      </c>
      <c r="K29" s="5" t="inlineStr">
        <is>
          <t>7:00-7:50</t>
        </is>
      </c>
      <c r="L29" s="6" t="inlineStr"/>
      <c r="M29" s="6" t="inlineStr">
        <is>
          <t>Open / Available</t>
        </is>
      </c>
      <c r="N29" s="5" t="inlineStr">
        <is>
          <t>7:00-7:50</t>
        </is>
      </c>
      <c r="O29" s="6" t="inlineStr"/>
      <c r="P29" s="6" t="inlineStr">
        <is>
          <t>Open / Available</t>
        </is>
      </c>
    </row>
    <row r="30">
      <c r="B30" s="5" t="inlineStr">
        <is>
          <t>8:00-8:50</t>
        </is>
      </c>
      <c r="C30" s="6" t="inlineStr"/>
      <c r="D30" s="6" t="inlineStr">
        <is>
          <t>Open / Available</t>
        </is>
      </c>
      <c r="E30" s="5" t="inlineStr">
        <is>
          <t>8:00-8:50</t>
        </is>
      </c>
      <c r="F30" s="6" t="inlineStr"/>
      <c r="G30" s="6" t="inlineStr">
        <is>
          <t>Open / Available</t>
        </is>
      </c>
      <c r="H30" s="5" t="inlineStr">
        <is>
          <t>8:00-8:50</t>
        </is>
      </c>
      <c r="I30" s="6" t="inlineStr"/>
      <c r="J30" s="6" t="inlineStr">
        <is>
          <t>Open / Available</t>
        </is>
      </c>
      <c r="K30" s="5" t="inlineStr">
        <is>
          <t>8:00-8:50</t>
        </is>
      </c>
      <c r="L30" s="6" t="inlineStr"/>
      <c r="M30" s="6" t="inlineStr">
        <is>
          <t>Open / Available</t>
        </is>
      </c>
      <c r="N30" s="5" t="inlineStr">
        <is>
          <t>8:00-8:50</t>
        </is>
      </c>
      <c r="O30" s="6" t="inlineStr"/>
      <c r="P30" s="6" t="inlineStr">
        <is>
          <t>Open / Available</t>
        </is>
      </c>
    </row>
    <row r="31">
      <c r="B31" s="5" t="inlineStr">
        <is>
          <t>9:00-9:50</t>
        </is>
      </c>
      <c r="C31" s="6" t="inlineStr"/>
      <c r="D31" s="6" t="inlineStr">
        <is>
          <t>Open / Available</t>
        </is>
      </c>
      <c r="E31" s="5" t="inlineStr">
        <is>
          <t>9:00-9:50</t>
        </is>
      </c>
      <c r="F31" s="6" t="inlineStr"/>
      <c r="G31" s="6" t="inlineStr">
        <is>
          <t>Open / Available</t>
        </is>
      </c>
      <c r="H31" s="5" t="inlineStr">
        <is>
          <t>9:00-9:50</t>
        </is>
      </c>
      <c r="I31" s="6" t="inlineStr"/>
      <c r="J31" s="6" t="inlineStr">
        <is>
          <t>Open / Available</t>
        </is>
      </c>
      <c r="K31" s="5" t="inlineStr">
        <is>
          <t>9:00-9:50</t>
        </is>
      </c>
      <c r="L31" s="6" t="inlineStr"/>
      <c r="M31" s="6" t="inlineStr">
        <is>
          <t>Open / Available</t>
        </is>
      </c>
      <c r="N31" s="5" t="inlineStr">
        <is>
          <t>9:00-9:50</t>
        </is>
      </c>
      <c r="O31" s="6" t="inlineStr"/>
      <c r="P31" s="6" t="inlineStr">
        <is>
          <t>Open / Available</t>
        </is>
      </c>
    </row>
    <row r="32">
      <c r="B32" s="5" t="inlineStr">
        <is>
          <t>10:00-10:50</t>
        </is>
      </c>
      <c r="C32" s="6" t="inlineStr"/>
      <c r="D32" s="6" t="inlineStr">
        <is>
          <t>Open / Available</t>
        </is>
      </c>
      <c r="E32" s="5" t="inlineStr">
        <is>
          <t>10:00-10:50</t>
        </is>
      </c>
      <c r="F32" s="6" t="inlineStr"/>
      <c r="G32" s="6" t="inlineStr">
        <is>
          <t>Open / Available</t>
        </is>
      </c>
      <c r="H32" s="5" t="inlineStr">
        <is>
          <t>10:00-10:50</t>
        </is>
      </c>
      <c r="I32" s="6" t="inlineStr"/>
      <c r="J32" s="6" t="inlineStr">
        <is>
          <t>Open / Available</t>
        </is>
      </c>
      <c r="K32" s="5" t="inlineStr">
        <is>
          <t>10:00-10:50</t>
        </is>
      </c>
      <c r="L32" s="6" t="inlineStr"/>
      <c r="M32" s="6" t="inlineStr">
        <is>
          <t>Open / Available</t>
        </is>
      </c>
      <c r="N32" s="5" t="inlineStr">
        <is>
          <t>10:00-10:50</t>
        </is>
      </c>
      <c r="O32" s="6" t="inlineStr"/>
      <c r="P32" s="6" t="inlineStr">
        <is>
          <t>Open / Available</t>
        </is>
      </c>
    </row>
    <row r="34">
      <c r="B34" s="16" t="inlineStr">
        <is>
          <t>VENUE: DEBERT ARENA</t>
        </is>
      </c>
    </row>
    <row r="35">
      <c r="B35" s="17" t="inlineStr">
        <is>
          <t>Monday</t>
        </is>
      </c>
      <c r="E35" s="17" t="inlineStr">
        <is>
          <t>Tuesday</t>
        </is>
      </c>
      <c r="H35" s="17" t="inlineStr">
        <is>
          <t>Wednesday</t>
        </is>
      </c>
      <c r="K35" s="17" t="inlineStr">
        <is>
          <t>Thursday</t>
        </is>
      </c>
      <c r="N35" s="17" t="inlineStr">
        <is>
          <t>Friday</t>
        </is>
      </c>
    </row>
    <row r="36">
      <c r="B36" s="18" t="inlineStr">
        <is>
          <t>Time</t>
        </is>
      </c>
      <c r="C36" s="18" t="inlineStr">
        <is>
          <t>Team / User</t>
        </is>
      </c>
      <c r="D36" s="18" t="inlineStr">
        <is>
          <t>Status</t>
        </is>
      </c>
      <c r="E36" s="18" t="inlineStr">
        <is>
          <t>Time</t>
        </is>
      </c>
      <c r="F36" s="18" t="inlineStr">
        <is>
          <t>Team / User</t>
        </is>
      </c>
      <c r="G36" s="18" t="inlineStr">
        <is>
          <t>Status</t>
        </is>
      </c>
      <c r="H36" s="18" t="inlineStr">
        <is>
          <t>Time</t>
        </is>
      </c>
      <c r="I36" s="18" t="inlineStr">
        <is>
          <t>Team / User</t>
        </is>
      </c>
      <c r="J36" s="18" t="inlineStr">
        <is>
          <t>Status</t>
        </is>
      </c>
      <c r="K36" s="18" t="inlineStr">
        <is>
          <t>Time</t>
        </is>
      </c>
      <c r="L36" s="18" t="inlineStr">
        <is>
          <t>Team / User</t>
        </is>
      </c>
      <c r="M36" s="18" t="inlineStr">
        <is>
          <t>Status</t>
        </is>
      </c>
      <c r="N36" s="18" t="inlineStr">
        <is>
          <t>Time</t>
        </is>
      </c>
      <c r="O36" s="18" t="inlineStr">
        <is>
          <t>Team / User</t>
        </is>
      </c>
      <c r="P36" s="18" t="inlineStr">
        <is>
          <t>Status</t>
        </is>
      </c>
    </row>
    <row r="37">
      <c r="B37" s="5" t="inlineStr">
        <is>
          <t>5:00-5:50</t>
        </is>
      </c>
      <c r="C37" s="6" t="inlineStr"/>
      <c r="D37" s="6" t="inlineStr">
        <is>
          <t>Open / Available</t>
        </is>
      </c>
      <c r="E37" s="5" t="inlineStr">
        <is>
          <t>5:00-5:50</t>
        </is>
      </c>
      <c r="F37" s="6" t="inlineStr"/>
      <c r="G37" s="6" t="inlineStr">
        <is>
          <t>Open / Available</t>
        </is>
      </c>
      <c r="H37" s="5" t="inlineStr">
        <is>
          <t>5:00-5:50</t>
        </is>
      </c>
      <c r="I37" s="6" t="inlineStr"/>
      <c r="J37" s="6" t="inlineStr">
        <is>
          <t>Open / Available</t>
        </is>
      </c>
      <c r="K37" s="5" t="inlineStr">
        <is>
          <t>5:00-5:50</t>
        </is>
      </c>
      <c r="L37" s="6" t="inlineStr"/>
      <c r="M37" s="6" t="inlineStr">
        <is>
          <t>Open / Available</t>
        </is>
      </c>
      <c r="N37" s="5" t="inlineStr">
        <is>
          <t>5:00-5:50</t>
        </is>
      </c>
      <c r="O37" s="6" t="inlineStr"/>
      <c r="P37" s="6" t="inlineStr">
        <is>
          <t>Open / Available</t>
        </is>
      </c>
    </row>
    <row r="38">
      <c r="B38" s="5" t="inlineStr">
        <is>
          <t>6:00-6:50</t>
        </is>
      </c>
      <c r="C38" s="6" t="inlineStr"/>
      <c r="D38" s="6" t="inlineStr">
        <is>
          <t>Open / Available</t>
        </is>
      </c>
      <c r="E38" s="5" t="inlineStr">
        <is>
          <t>6:00-6:50</t>
        </is>
      </c>
      <c r="F38" s="6" t="inlineStr"/>
      <c r="G38" s="6" t="inlineStr">
        <is>
          <t>Open / Available</t>
        </is>
      </c>
      <c r="H38" s="5" t="inlineStr">
        <is>
          <t>6:00-6:50</t>
        </is>
      </c>
      <c r="I38" s="6" t="inlineStr"/>
      <c r="J38" s="6" t="inlineStr">
        <is>
          <t>Open / Available</t>
        </is>
      </c>
      <c r="K38" s="5" t="inlineStr">
        <is>
          <t>6:00-6:50</t>
        </is>
      </c>
      <c r="L38" s="6" t="inlineStr"/>
      <c r="M38" s="6" t="inlineStr">
        <is>
          <t>Open / Available</t>
        </is>
      </c>
      <c r="N38" s="5" t="inlineStr">
        <is>
          <t>6:00-6:50</t>
        </is>
      </c>
      <c r="O38" s="6" t="inlineStr"/>
      <c r="P38" s="6" t="inlineStr">
        <is>
          <t>Open / Available</t>
        </is>
      </c>
    </row>
    <row r="39">
      <c r="B39" s="5" t="inlineStr">
        <is>
          <t>7:00-7:50</t>
        </is>
      </c>
      <c r="C39" s="6" t="inlineStr"/>
      <c r="D39" s="6" t="inlineStr">
        <is>
          <t>Open / Available</t>
        </is>
      </c>
      <c r="E39" s="5" t="inlineStr">
        <is>
          <t>7:00-7:50</t>
        </is>
      </c>
      <c r="F39" s="6" t="inlineStr"/>
      <c r="G39" s="6" t="inlineStr">
        <is>
          <t>Open / Available</t>
        </is>
      </c>
      <c r="H39" s="5" t="inlineStr">
        <is>
          <t>7:00-7:50</t>
        </is>
      </c>
      <c r="I39" s="6" t="inlineStr"/>
      <c r="J39" s="6" t="inlineStr">
        <is>
          <t>Open / Available</t>
        </is>
      </c>
      <c r="K39" s="5" t="inlineStr">
        <is>
          <t>7:00-7:50</t>
        </is>
      </c>
      <c r="L39" s="6" t="inlineStr"/>
      <c r="M39" s="6" t="inlineStr">
        <is>
          <t>Open / Available</t>
        </is>
      </c>
      <c r="N39" s="5" t="inlineStr">
        <is>
          <t>7:00-7:50</t>
        </is>
      </c>
      <c r="O39" s="6" t="inlineStr"/>
      <c r="P39" s="6" t="inlineStr">
        <is>
          <t>Open / Available</t>
        </is>
      </c>
    </row>
    <row r="40">
      <c r="B40" s="5" t="inlineStr">
        <is>
          <t>8:00-8:50</t>
        </is>
      </c>
      <c r="C40" s="6" t="inlineStr"/>
      <c r="D40" s="6" t="inlineStr">
        <is>
          <t>Open / Available</t>
        </is>
      </c>
      <c r="E40" s="5" t="inlineStr">
        <is>
          <t>8:00-8:50</t>
        </is>
      </c>
      <c r="F40" s="6" t="inlineStr"/>
      <c r="G40" s="6" t="inlineStr">
        <is>
          <t>Open / Available</t>
        </is>
      </c>
      <c r="H40" s="5" t="inlineStr">
        <is>
          <t>8:00-8:50</t>
        </is>
      </c>
      <c r="I40" s="6" t="inlineStr"/>
      <c r="J40" s="6" t="inlineStr">
        <is>
          <t>Open / Available</t>
        </is>
      </c>
      <c r="K40" s="5" t="inlineStr">
        <is>
          <t>8:00-8:50</t>
        </is>
      </c>
      <c r="L40" s="6" t="inlineStr"/>
      <c r="M40" s="6" t="inlineStr">
        <is>
          <t>Open / Available</t>
        </is>
      </c>
      <c r="N40" s="5" t="inlineStr">
        <is>
          <t>8:00-8:50</t>
        </is>
      </c>
      <c r="O40" s="6" t="inlineStr"/>
      <c r="P40" s="6" t="inlineStr">
        <is>
          <t>Open / Available</t>
        </is>
      </c>
    </row>
    <row r="41">
      <c r="B41" s="5" t="inlineStr">
        <is>
          <t>9:00-9:50</t>
        </is>
      </c>
      <c r="C41" s="6" t="inlineStr"/>
      <c r="D41" s="6" t="inlineStr">
        <is>
          <t>Open / Available</t>
        </is>
      </c>
      <c r="E41" s="5" t="inlineStr">
        <is>
          <t>9:00-9:50</t>
        </is>
      </c>
      <c r="F41" s="6" t="inlineStr"/>
      <c r="G41" s="6" t="inlineStr">
        <is>
          <t>Open / Available</t>
        </is>
      </c>
      <c r="H41" s="5" t="inlineStr">
        <is>
          <t>9:00-9:50</t>
        </is>
      </c>
      <c r="I41" s="6" t="inlineStr"/>
      <c r="J41" s="6" t="inlineStr">
        <is>
          <t>Open / Available</t>
        </is>
      </c>
      <c r="K41" s="5" t="inlineStr">
        <is>
          <t>9:00-9:50</t>
        </is>
      </c>
      <c r="L41" s="6" t="inlineStr"/>
      <c r="M41" s="6" t="inlineStr">
        <is>
          <t>Open / Available</t>
        </is>
      </c>
      <c r="N41" s="5" t="inlineStr">
        <is>
          <t>9:00-9:50</t>
        </is>
      </c>
      <c r="O41" s="6" t="inlineStr"/>
      <c r="P41" s="6" t="inlineStr">
        <is>
          <t>Open / Available</t>
        </is>
      </c>
    </row>
    <row r="42">
      <c r="B42" s="5" t="inlineStr">
        <is>
          <t>10:00-10:50</t>
        </is>
      </c>
      <c r="C42" s="6" t="inlineStr"/>
      <c r="D42" s="6" t="inlineStr">
        <is>
          <t>Open / Available</t>
        </is>
      </c>
      <c r="E42" s="5" t="inlineStr">
        <is>
          <t>10:00-10:50</t>
        </is>
      </c>
      <c r="F42" s="6" t="inlineStr"/>
      <c r="G42" s="6" t="inlineStr">
        <is>
          <t>Open / Available</t>
        </is>
      </c>
      <c r="H42" s="5" t="inlineStr">
        <is>
          <t>10:00-10:50</t>
        </is>
      </c>
      <c r="I42" s="6" t="inlineStr"/>
      <c r="J42" s="6" t="inlineStr">
        <is>
          <t>Open / Available</t>
        </is>
      </c>
      <c r="K42" s="5" t="inlineStr">
        <is>
          <t>10:00-10:50</t>
        </is>
      </c>
      <c r="L42" s="6" t="inlineStr"/>
      <c r="M42" s="6" t="inlineStr">
        <is>
          <t>Open / Available</t>
        </is>
      </c>
      <c r="N42" s="5" t="inlineStr">
        <is>
          <t>10:00-10:50</t>
        </is>
      </c>
      <c r="O42" s="6" t="inlineStr"/>
      <c r="P42" s="6" t="inlineStr">
        <is>
          <t>Open / Available</t>
        </is>
      </c>
    </row>
  </sheetData>
  <mergeCells count="24">
    <mergeCell ref="B14:P14"/>
    <mergeCell ref="N5:P5"/>
    <mergeCell ref="E15:G15"/>
    <mergeCell ref="B34:P34"/>
    <mergeCell ref="B15:D15"/>
    <mergeCell ref="E25:G25"/>
    <mergeCell ref="H15:J15"/>
    <mergeCell ref="N15:P15"/>
    <mergeCell ref="B5:D5"/>
    <mergeCell ref="B24:P24"/>
    <mergeCell ref="H5:J5"/>
    <mergeCell ref="B35:D35"/>
    <mergeCell ref="H35:J35"/>
    <mergeCell ref="N35:P35"/>
    <mergeCell ref="B4:P4"/>
    <mergeCell ref="B25:D25"/>
    <mergeCell ref="K25:M25"/>
    <mergeCell ref="K15:M15"/>
    <mergeCell ref="N25:P25"/>
    <mergeCell ref="E5:G5"/>
    <mergeCell ref="K5:M5"/>
    <mergeCell ref="E35:G35"/>
    <mergeCell ref="K35:M35"/>
    <mergeCell ref="H25:J25"/>
  </mergeCells>
  <conditionalFormatting sqref="B4:P50">
    <cfRule type="cellIs" priority="1" operator="equal" dxfId="0" stopIfTrue="1">
      <formula>"Open / Available"</formula>
    </cfRule>
    <cfRule type="cellIs" priority="2" operator="equal" dxfId="1" stopIfTrue="1">
      <formula>"Booked: Practice"</formula>
    </cfRule>
    <cfRule type="cellIs" priority="3" operator="equal" dxfId="2" stopIfTrue="1">
      <formula>"Booked: Home Game"</formula>
    </cfRule>
    <cfRule type="cellIs" priority="4" operator="equal" dxfId="3" stopIfTrue="1">
      <formula>"Tentative Hold"</formula>
    </cfRule>
    <cfRule type="cellIs" priority="5" operator="equal" dxfId="4" stopIfTrue="1">
      <formula>"Released / Dead Ice"</formula>
    </cfRule>
    <cfRule type="cellIs" priority="6" operator="equal" dxfId="5" stopIfTrue="1">
      <formula>"TAMHA Development"</formula>
    </cfRule>
    <cfRule type="cellIs" priority="7" operator="equal" dxfId="6" stopIfTrue="1">
      <formula>"Arena Conflict"</formula>
    </cfRule>
  </conditionalFormatting>
  <dataValidations count="2">
    <dataValidation sqref="C7 C8 C9 C10 C11 C12 C17 C18 C19 C20 C21 C22 C27 C28 C29 C30 C31 C32 C37 C38 C39 C40 C41 C42 F7 F8 F9 F10 F11 F12 F17 F18 F19 F20 F21 F22 F27 F28 F29 F30 F31 F32 F37 F38 F39 F40 F41 F42 I7 I8 I9 I10 I11 I12 I17 I18 I19 I20 I21 I22 I27 I28 I29 I30 I31 I32 I37 I38 I39 I40 I41 I42 L7 L8 L9 L10 L11 L12 L17 L18 L19 L20 L21 L22 L27 L28 L29 L30 L31 L32 L37 L38 L39 L40 L41 L42 O7 O8 O9 O10 O11 O12 O17 O18 O19 O20 O21 O22 O27 O28 O29 O30 O31 O32 O37 O38 O39 O40 O41 O42" showDropDown="0" showInputMessage="0" showErrorMessage="0" allowBlank="1" type="list">
      <formula1>=Config_Directory!$C$5:$C$38</formula1>
    </dataValidation>
    <dataValidation sqref="D7 D8 D9 D10 D11 D12 D17 D18 D19 D20 D21 D22 D27 D28 D29 D30 D31 D32 D37 D38 D39 D40 D41 D42 G7 G8 G9 G10 G11 G12 G17 G18 G19 G20 G21 G22 G27 G28 G29 G30 G31 G32 G37 G38 G39 G40 G41 G42 J7 J8 J9 J10 J11 J12 J17 J18 J19 J20 J21 J22 J27 J28 J29 J30 J31 J32 J37 J38 J39 J40 J41 J42 M7 M8 M9 M10 M11 M12 M17 M18 M19 M20 M21 M22 M27 M28 M29 M30 M31 M32 M37 M38 M39 M40 M41 M42 P7 P8 P9 P10 P11 P12 P17 P18 P19 P20 P21 P22 P27 P28 P29 P30 P31 P32 P37 P38 P39 P40 P41 P42" showDropDown="0" showInputMessage="0" showErrorMessage="0" allowBlank="1" type="list">
      <formula1>=Config_Directory!$F$5:$F$11</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G50"/>
  <sheetViews>
    <sheetView workbookViewId="0">
      <selection activeCell="A1" sqref="A1"/>
    </sheetView>
  </sheetViews>
  <sheetFormatPr baseColWidth="8" defaultRowHeight="15"/>
  <cols>
    <col width="13" customWidth="1" min="2" max="2"/>
    <col width="22" customWidth="1" min="3" max="3"/>
    <col width="20" customWidth="1" min="4" max="4"/>
    <col width="13" customWidth="1" min="5" max="5"/>
    <col width="22" customWidth="1" min="6" max="6"/>
    <col width="20" customWidth="1" min="7" max="7"/>
  </cols>
  <sheetData>
    <row r="1">
      <c r="B1" s="1" t="inlineStr">
        <is>
          <t>TAMHA WEEKEND ICE SCHEDULE</t>
        </is>
      </c>
    </row>
    <row r="2">
      <c r="B2" s="15" t="inlineStr">
        <is>
          <t>Weekend: Saturday &amp; Sunday</t>
        </is>
      </c>
    </row>
    <row r="4">
      <c r="B4" s="16" t="inlineStr">
        <is>
          <t>VENUE: TRURO STADIUM</t>
        </is>
      </c>
    </row>
    <row r="5">
      <c r="B5" s="17" t="inlineStr">
        <is>
          <t>Saturday</t>
        </is>
      </c>
      <c r="E5" s="17" t="inlineStr">
        <is>
          <t>Sunday</t>
        </is>
      </c>
    </row>
    <row r="6">
      <c r="B6" s="18" t="inlineStr">
        <is>
          <t>Time</t>
        </is>
      </c>
      <c r="C6" s="18" t="inlineStr">
        <is>
          <t>Team / User</t>
        </is>
      </c>
      <c r="D6" s="18" t="inlineStr">
        <is>
          <t>Status</t>
        </is>
      </c>
      <c r="E6" s="18" t="inlineStr">
        <is>
          <t>Time</t>
        </is>
      </c>
      <c r="F6" s="18" t="inlineStr">
        <is>
          <t>Team / User</t>
        </is>
      </c>
      <c r="G6" s="18" t="inlineStr">
        <is>
          <t>Status</t>
        </is>
      </c>
    </row>
    <row r="7">
      <c r="B7" s="5" t="inlineStr">
        <is>
          <t>8:00-8:50</t>
        </is>
      </c>
      <c r="C7" s="6" t="inlineStr"/>
      <c r="D7" s="6" t="inlineStr">
        <is>
          <t>Open / Available</t>
        </is>
      </c>
      <c r="E7" s="5" t="inlineStr">
        <is>
          <t>8:00-8:50</t>
        </is>
      </c>
      <c r="F7" s="6" t="inlineStr"/>
      <c r="G7" s="6" t="inlineStr">
        <is>
          <t>Open / Available</t>
        </is>
      </c>
    </row>
    <row r="8">
      <c r="B8" s="5" t="inlineStr">
        <is>
          <t>9:00-9:50</t>
        </is>
      </c>
      <c r="C8" s="6" t="inlineStr"/>
      <c r="D8" s="6" t="inlineStr">
        <is>
          <t>Open / Available</t>
        </is>
      </c>
      <c r="E8" s="5" t="inlineStr">
        <is>
          <t>9:00-9:50</t>
        </is>
      </c>
      <c r="F8" s="6" t="inlineStr"/>
      <c r="G8" s="6" t="inlineStr">
        <is>
          <t>Open / Available</t>
        </is>
      </c>
    </row>
    <row r="9">
      <c r="B9" s="5" t="inlineStr">
        <is>
          <t>10:00-10:50</t>
        </is>
      </c>
      <c r="C9" s="6" t="inlineStr"/>
      <c r="D9" s="6" t="inlineStr">
        <is>
          <t>Open / Available</t>
        </is>
      </c>
      <c r="E9" s="5" t="inlineStr">
        <is>
          <t>10:00-10:50</t>
        </is>
      </c>
      <c r="F9" s="6" t="inlineStr"/>
      <c r="G9" s="6" t="inlineStr">
        <is>
          <t>Open / Available</t>
        </is>
      </c>
    </row>
    <row r="10">
      <c r="B10" s="5" t="inlineStr">
        <is>
          <t>11:00-11:50</t>
        </is>
      </c>
      <c r="C10" s="6" t="inlineStr"/>
      <c r="D10" s="6" t="inlineStr">
        <is>
          <t>Open / Available</t>
        </is>
      </c>
      <c r="E10" s="5" t="inlineStr">
        <is>
          <t>11:00-11:50</t>
        </is>
      </c>
      <c r="F10" s="6" t="inlineStr"/>
      <c r="G10" s="6" t="inlineStr">
        <is>
          <t>Open / Available</t>
        </is>
      </c>
    </row>
    <row r="11">
      <c r="B11" s="5" t="inlineStr">
        <is>
          <t>12:00-12:50</t>
        </is>
      </c>
      <c r="C11" s="6" t="inlineStr"/>
      <c r="D11" s="6" t="inlineStr">
        <is>
          <t>Open / Available</t>
        </is>
      </c>
      <c r="E11" s="5" t="inlineStr">
        <is>
          <t>12:00-12:50</t>
        </is>
      </c>
      <c r="F11" s="6" t="inlineStr"/>
      <c r="G11" s="6" t="inlineStr">
        <is>
          <t>Open / Available</t>
        </is>
      </c>
    </row>
    <row r="12">
      <c r="B12" s="5" t="inlineStr">
        <is>
          <t>13:00-13:50</t>
        </is>
      </c>
      <c r="C12" s="6" t="inlineStr"/>
      <c r="D12" s="6" t="inlineStr">
        <is>
          <t>Open / Available</t>
        </is>
      </c>
      <c r="E12" s="5" t="inlineStr">
        <is>
          <t>13:00-13:50</t>
        </is>
      </c>
      <c r="F12" s="6" t="inlineStr"/>
      <c r="G12" s="6" t="inlineStr">
        <is>
          <t>Open / Available</t>
        </is>
      </c>
    </row>
    <row r="13">
      <c r="B13" s="5" t="inlineStr">
        <is>
          <t>14:00-14:50</t>
        </is>
      </c>
      <c r="C13" s="6" t="inlineStr"/>
      <c r="D13" s="6" t="inlineStr">
        <is>
          <t>Open / Available</t>
        </is>
      </c>
      <c r="E13" s="5" t="inlineStr">
        <is>
          <t>14:00-14:50</t>
        </is>
      </c>
      <c r="F13" s="6" t="inlineStr"/>
      <c r="G13" s="6" t="inlineStr">
        <is>
          <t>Open / Available</t>
        </is>
      </c>
    </row>
    <row r="14">
      <c r="B14" s="5" t="inlineStr">
        <is>
          <t>15:00-15:50</t>
        </is>
      </c>
      <c r="C14" s="6" t="inlineStr"/>
      <c r="D14" s="6" t="inlineStr">
        <is>
          <t>Open / Available</t>
        </is>
      </c>
      <c r="E14" s="5" t="inlineStr">
        <is>
          <t>15:00-15:50</t>
        </is>
      </c>
      <c r="F14" s="6" t="inlineStr"/>
      <c r="G14" s="6" t="inlineStr">
        <is>
          <t>Open / Available</t>
        </is>
      </c>
    </row>
    <row r="16">
      <c r="B16" s="16" t="inlineStr">
        <is>
          <t>VENUE: RECC</t>
        </is>
      </c>
    </row>
    <row r="17">
      <c r="B17" s="17" t="inlineStr">
        <is>
          <t>Saturday</t>
        </is>
      </c>
      <c r="E17" s="17" t="inlineStr">
        <is>
          <t>Sunday</t>
        </is>
      </c>
    </row>
    <row r="18">
      <c r="B18" s="18" t="inlineStr">
        <is>
          <t>Time</t>
        </is>
      </c>
      <c r="C18" s="18" t="inlineStr">
        <is>
          <t>Team / User</t>
        </is>
      </c>
      <c r="D18" s="18" t="inlineStr">
        <is>
          <t>Status</t>
        </is>
      </c>
      <c r="E18" s="18" t="inlineStr">
        <is>
          <t>Time</t>
        </is>
      </c>
      <c r="F18" s="18" t="inlineStr">
        <is>
          <t>Team / User</t>
        </is>
      </c>
      <c r="G18" s="18" t="inlineStr">
        <is>
          <t>Status</t>
        </is>
      </c>
    </row>
    <row r="19">
      <c r="B19" s="5" t="inlineStr">
        <is>
          <t>8:00-8:50</t>
        </is>
      </c>
      <c r="C19" s="6" t="inlineStr"/>
      <c r="D19" s="6" t="inlineStr">
        <is>
          <t>Open / Available</t>
        </is>
      </c>
      <c r="E19" s="5" t="inlineStr">
        <is>
          <t>8:00-8:50</t>
        </is>
      </c>
      <c r="F19" s="6" t="inlineStr"/>
      <c r="G19" s="6" t="inlineStr">
        <is>
          <t>Open / Available</t>
        </is>
      </c>
    </row>
    <row r="20">
      <c r="B20" s="5" t="inlineStr">
        <is>
          <t>9:00-9:50</t>
        </is>
      </c>
      <c r="C20" s="6" t="inlineStr"/>
      <c r="D20" s="6" t="inlineStr">
        <is>
          <t>Open / Available</t>
        </is>
      </c>
      <c r="E20" s="5" t="inlineStr">
        <is>
          <t>9:00-9:50</t>
        </is>
      </c>
      <c r="F20" s="6" t="inlineStr"/>
      <c r="G20" s="6" t="inlineStr">
        <is>
          <t>Open / Available</t>
        </is>
      </c>
    </row>
    <row r="21">
      <c r="B21" s="5" t="inlineStr">
        <is>
          <t>10:00-10:50</t>
        </is>
      </c>
      <c r="C21" s="6" t="inlineStr"/>
      <c r="D21" s="6" t="inlineStr">
        <is>
          <t>Open / Available</t>
        </is>
      </c>
      <c r="E21" s="5" t="inlineStr">
        <is>
          <t>10:00-10:50</t>
        </is>
      </c>
      <c r="F21" s="6" t="inlineStr"/>
      <c r="G21" s="6" t="inlineStr">
        <is>
          <t>Open / Available</t>
        </is>
      </c>
    </row>
    <row r="22">
      <c r="B22" s="5" t="inlineStr">
        <is>
          <t>11:00-11:50</t>
        </is>
      </c>
      <c r="C22" s="6" t="inlineStr"/>
      <c r="D22" s="6" t="inlineStr">
        <is>
          <t>Open / Available</t>
        </is>
      </c>
      <c r="E22" s="5" t="inlineStr">
        <is>
          <t>11:00-11:50</t>
        </is>
      </c>
      <c r="F22" s="6" t="inlineStr"/>
      <c r="G22" s="6" t="inlineStr">
        <is>
          <t>Open / Available</t>
        </is>
      </c>
    </row>
    <row r="23">
      <c r="B23" s="5" t="inlineStr">
        <is>
          <t>12:00-12:50</t>
        </is>
      </c>
      <c r="C23" s="6" t="inlineStr"/>
      <c r="D23" s="6" t="inlineStr">
        <is>
          <t>Open / Available</t>
        </is>
      </c>
      <c r="E23" s="5" t="inlineStr">
        <is>
          <t>12:00-12:50</t>
        </is>
      </c>
      <c r="F23" s="6" t="inlineStr"/>
      <c r="G23" s="6" t="inlineStr">
        <is>
          <t>Open / Available</t>
        </is>
      </c>
    </row>
    <row r="24">
      <c r="B24" s="5" t="inlineStr">
        <is>
          <t>13:00-13:50</t>
        </is>
      </c>
      <c r="C24" s="6" t="inlineStr"/>
      <c r="D24" s="6" t="inlineStr">
        <is>
          <t>Open / Available</t>
        </is>
      </c>
      <c r="E24" s="5" t="inlineStr">
        <is>
          <t>13:00-13:50</t>
        </is>
      </c>
      <c r="F24" s="6" t="inlineStr"/>
      <c r="G24" s="6" t="inlineStr">
        <is>
          <t>Open / Available</t>
        </is>
      </c>
    </row>
    <row r="25">
      <c r="B25" s="5" t="inlineStr">
        <is>
          <t>14:00-14:50</t>
        </is>
      </c>
      <c r="C25" s="6" t="inlineStr"/>
      <c r="D25" s="6" t="inlineStr">
        <is>
          <t>Open / Available</t>
        </is>
      </c>
      <c r="E25" s="5" t="inlineStr">
        <is>
          <t>14:00-14:50</t>
        </is>
      </c>
      <c r="F25" s="6" t="inlineStr"/>
      <c r="G25" s="6" t="inlineStr">
        <is>
          <t>Open / Available</t>
        </is>
      </c>
    </row>
    <row r="26">
      <c r="B26" s="5" t="inlineStr">
        <is>
          <t>15:00-15:50</t>
        </is>
      </c>
      <c r="C26" s="6" t="inlineStr"/>
      <c r="D26" s="6" t="inlineStr">
        <is>
          <t>Open / Available</t>
        </is>
      </c>
      <c r="E26" s="5" t="inlineStr">
        <is>
          <t>15:00-15:50</t>
        </is>
      </c>
      <c r="F26" s="6" t="inlineStr"/>
      <c r="G26" s="6" t="inlineStr">
        <is>
          <t>Open / Available</t>
        </is>
      </c>
    </row>
    <row r="28">
      <c r="B28" s="16" t="inlineStr">
        <is>
          <t>VENUE: DEUVILLES</t>
        </is>
      </c>
    </row>
    <row r="29">
      <c r="B29" s="17" t="inlineStr">
        <is>
          <t>Saturday</t>
        </is>
      </c>
      <c r="E29" s="17" t="inlineStr">
        <is>
          <t>Sunday</t>
        </is>
      </c>
    </row>
    <row r="30">
      <c r="B30" s="18" t="inlineStr">
        <is>
          <t>Time</t>
        </is>
      </c>
      <c r="C30" s="18" t="inlineStr">
        <is>
          <t>Team / User</t>
        </is>
      </c>
      <c r="D30" s="18" t="inlineStr">
        <is>
          <t>Status</t>
        </is>
      </c>
      <c r="E30" s="18" t="inlineStr">
        <is>
          <t>Time</t>
        </is>
      </c>
      <c r="F30" s="18" t="inlineStr">
        <is>
          <t>Team / User</t>
        </is>
      </c>
      <c r="G30" s="18" t="inlineStr">
        <is>
          <t>Status</t>
        </is>
      </c>
    </row>
    <row r="31">
      <c r="B31" s="5" t="inlineStr">
        <is>
          <t>8:00-8:50</t>
        </is>
      </c>
      <c r="C31" s="6" t="inlineStr"/>
      <c r="D31" s="6" t="inlineStr">
        <is>
          <t>Open / Available</t>
        </is>
      </c>
      <c r="E31" s="5" t="inlineStr">
        <is>
          <t>8:00-8:50</t>
        </is>
      </c>
      <c r="F31" s="6" t="inlineStr"/>
      <c r="G31" s="6" t="inlineStr">
        <is>
          <t>Open / Available</t>
        </is>
      </c>
    </row>
    <row r="32">
      <c r="B32" s="5" t="inlineStr">
        <is>
          <t>9:00-9:50</t>
        </is>
      </c>
      <c r="C32" s="6" t="inlineStr"/>
      <c r="D32" s="6" t="inlineStr">
        <is>
          <t>Open / Available</t>
        </is>
      </c>
      <c r="E32" s="5" t="inlineStr">
        <is>
          <t>9:00-9:50</t>
        </is>
      </c>
      <c r="F32" s="6" t="inlineStr"/>
      <c r="G32" s="6" t="inlineStr">
        <is>
          <t>Open / Available</t>
        </is>
      </c>
    </row>
    <row r="33">
      <c r="B33" s="5" t="inlineStr">
        <is>
          <t>10:00-10:50</t>
        </is>
      </c>
      <c r="C33" s="6" t="inlineStr"/>
      <c r="D33" s="6" t="inlineStr">
        <is>
          <t>Open / Available</t>
        </is>
      </c>
      <c r="E33" s="5" t="inlineStr">
        <is>
          <t>10:00-10:50</t>
        </is>
      </c>
      <c r="F33" s="6" t="inlineStr"/>
      <c r="G33" s="6" t="inlineStr">
        <is>
          <t>Open / Available</t>
        </is>
      </c>
    </row>
    <row r="34">
      <c r="B34" s="5" t="inlineStr">
        <is>
          <t>11:00-11:50</t>
        </is>
      </c>
      <c r="C34" s="6" t="inlineStr"/>
      <c r="D34" s="6" t="inlineStr">
        <is>
          <t>Open / Available</t>
        </is>
      </c>
      <c r="E34" s="5" t="inlineStr">
        <is>
          <t>11:00-11:50</t>
        </is>
      </c>
      <c r="F34" s="6" t="inlineStr"/>
      <c r="G34" s="6" t="inlineStr">
        <is>
          <t>Open / Available</t>
        </is>
      </c>
    </row>
    <row r="35">
      <c r="B35" s="5" t="inlineStr">
        <is>
          <t>12:00-12:50</t>
        </is>
      </c>
      <c r="C35" s="6" t="inlineStr"/>
      <c r="D35" s="6" t="inlineStr">
        <is>
          <t>Open / Available</t>
        </is>
      </c>
      <c r="E35" s="5" t="inlineStr">
        <is>
          <t>12:00-12:50</t>
        </is>
      </c>
      <c r="F35" s="6" t="inlineStr"/>
      <c r="G35" s="6" t="inlineStr">
        <is>
          <t>Open / Available</t>
        </is>
      </c>
    </row>
    <row r="36">
      <c r="B36" s="5" t="inlineStr">
        <is>
          <t>13:00-13:50</t>
        </is>
      </c>
      <c r="C36" s="6" t="inlineStr"/>
      <c r="D36" s="6" t="inlineStr">
        <is>
          <t>Open / Available</t>
        </is>
      </c>
      <c r="E36" s="5" t="inlineStr">
        <is>
          <t>13:00-13:50</t>
        </is>
      </c>
      <c r="F36" s="6" t="inlineStr"/>
      <c r="G36" s="6" t="inlineStr">
        <is>
          <t>Open / Available</t>
        </is>
      </c>
    </row>
    <row r="37">
      <c r="B37" s="5" t="inlineStr">
        <is>
          <t>14:00-14:50</t>
        </is>
      </c>
      <c r="C37" s="6" t="inlineStr"/>
      <c r="D37" s="6" t="inlineStr">
        <is>
          <t>Open / Available</t>
        </is>
      </c>
      <c r="E37" s="5" t="inlineStr">
        <is>
          <t>14:00-14:50</t>
        </is>
      </c>
      <c r="F37" s="6" t="inlineStr"/>
      <c r="G37" s="6" t="inlineStr">
        <is>
          <t>Open / Available</t>
        </is>
      </c>
    </row>
    <row r="38">
      <c r="B38" s="5" t="inlineStr">
        <is>
          <t>15:00-15:50</t>
        </is>
      </c>
      <c r="C38" s="6" t="inlineStr"/>
      <c r="D38" s="6" t="inlineStr">
        <is>
          <t>Open / Available</t>
        </is>
      </c>
      <c r="E38" s="5" t="inlineStr">
        <is>
          <t>15:00-15:50</t>
        </is>
      </c>
      <c r="F38" s="6" t="inlineStr"/>
      <c r="G38" s="6" t="inlineStr">
        <is>
          <t>Open / Available</t>
        </is>
      </c>
    </row>
    <row r="40">
      <c r="B40" s="16" t="inlineStr">
        <is>
          <t>VENUE: DEBERT ARENA</t>
        </is>
      </c>
    </row>
    <row r="41">
      <c r="B41" s="17" t="inlineStr">
        <is>
          <t>Saturday</t>
        </is>
      </c>
      <c r="E41" s="17" t="inlineStr">
        <is>
          <t>Sunday</t>
        </is>
      </c>
    </row>
    <row r="42">
      <c r="B42" s="18" t="inlineStr">
        <is>
          <t>Time</t>
        </is>
      </c>
      <c r="C42" s="18" t="inlineStr">
        <is>
          <t>Team / User</t>
        </is>
      </c>
      <c r="D42" s="18" t="inlineStr">
        <is>
          <t>Status</t>
        </is>
      </c>
      <c r="E42" s="18" t="inlineStr">
        <is>
          <t>Time</t>
        </is>
      </c>
      <c r="F42" s="18" t="inlineStr">
        <is>
          <t>Team / User</t>
        </is>
      </c>
      <c r="G42" s="18" t="inlineStr">
        <is>
          <t>Status</t>
        </is>
      </c>
    </row>
    <row r="43">
      <c r="B43" s="5" t="inlineStr">
        <is>
          <t>8:00-8:50</t>
        </is>
      </c>
      <c r="C43" s="6" t="inlineStr"/>
      <c r="D43" s="6" t="inlineStr">
        <is>
          <t>Open / Available</t>
        </is>
      </c>
      <c r="E43" s="5" t="inlineStr">
        <is>
          <t>8:00-8:50</t>
        </is>
      </c>
      <c r="F43" s="6" t="inlineStr"/>
      <c r="G43" s="6" t="inlineStr">
        <is>
          <t>Open / Available</t>
        </is>
      </c>
    </row>
    <row r="44">
      <c r="B44" s="5" t="inlineStr">
        <is>
          <t>9:00-9:50</t>
        </is>
      </c>
      <c r="C44" s="6" t="inlineStr"/>
      <c r="D44" s="6" t="inlineStr">
        <is>
          <t>Open / Available</t>
        </is>
      </c>
      <c r="E44" s="5" t="inlineStr">
        <is>
          <t>9:00-9:50</t>
        </is>
      </c>
      <c r="F44" s="6" t="inlineStr"/>
      <c r="G44" s="6" t="inlineStr">
        <is>
          <t>Open / Available</t>
        </is>
      </c>
    </row>
    <row r="45">
      <c r="B45" s="5" t="inlineStr">
        <is>
          <t>10:00-10:50</t>
        </is>
      </c>
      <c r="C45" s="6" t="inlineStr"/>
      <c r="D45" s="6" t="inlineStr">
        <is>
          <t>Open / Available</t>
        </is>
      </c>
      <c r="E45" s="5" t="inlineStr">
        <is>
          <t>10:00-10:50</t>
        </is>
      </c>
      <c r="F45" s="6" t="inlineStr"/>
      <c r="G45" s="6" t="inlineStr">
        <is>
          <t>Open / Available</t>
        </is>
      </c>
    </row>
    <row r="46">
      <c r="B46" s="5" t="inlineStr">
        <is>
          <t>11:00-11:50</t>
        </is>
      </c>
      <c r="C46" s="6" t="inlineStr"/>
      <c r="D46" s="6" t="inlineStr">
        <is>
          <t>Open / Available</t>
        </is>
      </c>
      <c r="E46" s="5" t="inlineStr">
        <is>
          <t>11:00-11:50</t>
        </is>
      </c>
      <c r="F46" s="6" t="inlineStr"/>
      <c r="G46" s="6" t="inlineStr">
        <is>
          <t>Open / Available</t>
        </is>
      </c>
    </row>
    <row r="47">
      <c r="B47" s="5" t="inlineStr">
        <is>
          <t>12:00-12:50</t>
        </is>
      </c>
      <c r="C47" s="6" t="inlineStr"/>
      <c r="D47" s="6" t="inlineStr">
        <is>
          <t>Open / Available</t>
        </is>
      </c>
      <c r="E47" s="5" t="inlineStr">
        <is>
          <t>12:00-12:50</t>
        </is>
      </c>
      <c r="F47" s="6" t="inlineStr"/>
      <c r="G47" s="6" t="inlineStr">
        <is>
          <t>Open / Available</t>
        </is>
      </c>
    </row>
    <row r="48">
      <c r="B48" s="5" t="inlineStr">
        <is>
          <t>13:00-13:50</t>
        </is>
      </c>
      <c r="C48" s="6" t="inlineStr"/>
      <c r="D48" s="6" t="inlineStr">
        <is>
          <t>Open / Available</t>
        </is>
      </c>
      <c r="E48" s="5" t="inlineStr">
        <is>
          <t>13:00-13:50</t>
        </is>
      </c>
      <c r="F48" s="6" t="inlineStr"/>
      <c r="G48" s="6" t="inlineStr">
        <is>
          <t>Open / Available</t>
        </is>
      </c>
    </row>
    <row r="49">
      <c r="B49" s="5" t="inlineStr">
        <is>
          <t>14:00-14:50</t>
        </is>
      </c>
      <c r="C49" s="6" t="inlineStr"/>
      <c r="D49" s="6" t="inlineStr">
        <is>
          <t>Open / Available</t>
        </is>
      </c>
      <c r="E49" s="5" t="inlineStr">
        <is>
          <t>14:00-14:50</t>
        </is>
      </c>
      <c r="F49" s="6" t="inlineStr"/>
      <c r="G49" s="6" t="inlineStr">
        <is>
          <t>Open / Available</t>
        </is>
      </c>
    </row>
    <row r="50">
      <c r="B50" s="5" t="inlineStr">
        <is>
          <t>15:00-15:50</t>
        </is>
      </c>
      <c r="C50" s="6" t="inlineStr"/>
      <c r="D50" s="6" t="inlineStr">
        <is>
          <t>Open / Available</t>
        </is>
      </c>
      <c r="E50" s="5" t="inlineStr">
        <is>
          <t>15:00-15:50</t>
        </is>
      </c>
      <c r="F50" s="6" t="inlineStr"/>
      <c r="G50" s="6" t="inlineStr">
        <is>
          <t>Open / Available</t>
        </is>
      </c>
    </row>
  </sheetData>
  <mergeCells count="12">
    <mergeCell ref="B16:G16"/>
    <mergeCell ref="B5:D5"/>
    <mergeCell ref="B28:G28"/>
    <mergeCell ref="E41:G41"/>
    <mergeCell ref="E5:G5"/>
    <mergeCell ref="B41:D41"/>
    <mergeCell ref="B17:D17"/>
    <mergeCell ref="B4:G4"/>
    <mergeCell ref="E17:G17"/>
    <mergeCell ref="B40:G40"/>
    <mergeCell ref="B29:D29"/>
    <mergeCell ref="E29:G29"/>
  </mergeCells>
  <conditionalFormatting sqref="B4:G60">
    <cfRule type="cellIs" priority="1" operator="equal" dxfId="0" stopIfTrue="1">
      <formula>"Open / Available"</formula>
    </cfRule>
    <cfRule type="cellIs" priority="2" operator="equal" dxfId="1" stopIfTrue="1">
      <formula>"Booked: Practice"</formula>
    </cfRule>
    <cfRule type="cellIs" priority="3" operator="equal" dxfId="2" stopIfTrue="1">
      <formula>"Booked: Home Game"</formula>
    </cfRule>
    <cfRule type="cellIs" priority="4" operator="equal" dxfId="3" stopIfTrue="1">
      <formula>"Tentative Hold"</formula>
    </cfRule>
    <cfRule type="cellIs" priority="5" operator="equal" dxfId="4" stopIfTrue="1">
      <formula>"Released / Dead Ice"</formula>
    </cfRule>
    <cfRule type="cellIs" priority="6" operator="equal" dxfId="5" stopIfTrue="1">
      <formula>"TAMHA Development"</formula>
    </cfRule>
    <cfRule type="cellIs" priority="7" operator="equal" dxfId="6" stopIfTrue="1">
      <formula>"Arena Conflict"</formula>
    </cfRule>
  </conditionalFormatting>
  <dataValidations count="2">
    <dataValidation sqref="C7 C8 C9 C10 C11 C12 C13 C14 C19 C20 C21 C22 C23 C24 C25 C26 C31 C32 C33 C34 C35 C36 C37 C38 C43 C44 C45 C46 C47 C48 C49 C50 F7 F8 F9 F10 F11 F12 F13 F14 F19 F20 F21 F22 F23 F24 F25 F26 F31 F32 F33 F34 F35 F36 F37 F38 F43 F44 F45 F46 F47 F48 F49 F50" showDropDown="0" showInputMessage="0" showErrorMessage="0" allowBlank="1" type="list">
      <formula1>=Config_Directory!$C$5:$C$38</formula1>
    </dataValidation>
    <dataValidation sqref="D7 D8 D9 D10 D11 D12 D13 D14 D19 D20 D21 D22 D23 D24 D25 D26 D31 D32 D33 D34 D35 D36 D37 D38 D43 D44 D45 D46 D47 D48 D49 D50 G7 G8 G9 G10 G11 G12 G13 G14 G19 G20 G21 G22 G23 G24 G25 G26 G31 G32 G33 G34 G35 G36 G37 G38 G43 G44 G45 G46 G47 G48 G49 G50" showDropDown="0" showInputMessage="0" showErrorMessage="0" allowBlank="1" type="list">
      <formula1>=Config_Directory!$F$5:$F$11</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F49"/>
  <sheetViews>
    <sheetView workbookViewId="0">
      <selection activeCell="A1" sqref="A1"/>
    </sheetView>
  </sheetViews>
  <sheetFormatPr baseColWidth="8" defaultRowHeight="15"/>
  <cols>
    <col width="26" customWidth="1" min="2" max="2"/>
    <col width="16" customWidth="1" min="3" max="3"/>
    <col width="16" customWidth="1" min="4" max="4"/>
    <col width="16" customWidth="1" min="5" max="5"/>
    <col width="16" customWidth="1" min="6" max="6"/>
  </cols>
  <sheetData>
    <row r="1">
      <c r="B1" s="1" t="inlineStr">
        <is>
          <t>TAMHA ICE ALLOCATION &amp; STATUS DASHBOARD</t>
        </is>
      </c>
    </row>
    <row r="2">
      <c r="B2" s="2" t="inlineStr">
        <is>
          <t>Automatic aggregation of ice usage by status and team.</t>
        </is>
      </c>
    </row>
    <row r="4">
      <c r="B4" s="4" t="inlineStr">
        <is>
          <t>Status Category</t>
        </is>
      </c>
      <c r="C4" s="4" t="inlineStr">
        <is>
          <t>Weekday Slots</t>
        </is>
      </c>
      <c r="D4" s="4" t="inlineStr">
        <is>
          <t>Weekend Slots</t>
        </is>
      </c>
      <c r="E4" s="4" t="inlineStr">
        <is>
          <t>Total Slots</t>
        </is>
      </c>
    </row>
    <row r="5">
      <c r="B5" s="7" t="inlineStr">
        <is>
          <t>Open / Available</t>
        </is>
      </c>
      <c r="C5" s="5">
        <f>COUNTIF(Weekday_Template!$D$4:$P$50, "Open / Available")</f>
        <v/>
      </c>
      <c r="D5" s="5">
        <f>COUNTIF(Weekend_Template!$D$4:$G$60, "Open / Available")</f>
        <v/>
      </c>
      <c r="E5" s="19">
        <f>SUM(C5:D5)</f>
        <v/>
      </c>
    </row>
    <row r="6">
      <c r="B6" s="7" t="inlineStr">
        <is>
          <t>Booked: Practice</t>
        </is>
      </c>
      <c r="C6" s="5">
        <f>COUNTIF(Weekday_Template!$D$4:$P$50, "Booked: Practice")</f>
        <v/>
      </c>
      <c r="D6" s="5">
        <f>COUNTIF(Weekend_Template!$D$4:$G$60, "Booked: Practice")</f>
        <v/>
      </c>
      <c r="E6" s="19">
        <f>SUM(C6:D6)</f>
        <v/>
      </c>
    </row>
    <row r="7">
      <c r="B7" s="7" t="inlineStr">
        <is>
          <t>Booked: Home Game</t>
        </is>
      </c>
      <c r="C7" s="5">
        <f>COUNTIF(Weekday_Template!$D$4:$P$50, "Booked: Home Game")</f>
        <v/>
      </c>
      <c r="D7" s="5">
        <f>COUNTIF(Weekend_Template!$D$4:$G$60, "Booked: Home Game")</f>
        <v/>
      </c>
      <c r="E7" s="19">
        <f>SUM(C7:D7)</f>
        <v/>
      </c>
    </row>
    <row r="8">
      <c r="B8" s="7" t="inlineStr">
        <is>
          <t>Tentative Hold</t>
        </is>
      </c>
      <c r="C8" s="5">
        <f>COUNTIF(Weekday_Template!$D$4:$P$50, "Tentative Hold")</f>
        <v/>
      </c>
      <c r="D8" s="5">
        <f>COUNTIF(Weekend_Template!$D$4:$G$60, "Tentative Hold")</f>
        <v/>
      </c>
      <c r="E8" s="19">
        <f>SUM(C8:D8)</f>
        <v/>
      </c>
    </row>
    <row r="9">
      <c r="B9" s="7" t="inlineStr">
        <is>
          <t>Released / Dead Ice</t>
        </is>
      </c>
      <c r="C9" s="5">
        <f>COUNTIF(Weekday_Template!$D$4:$P$50, "Released / Dead Ice")</f>
        <v/>
      </c>
      <c r="D9" s="5">
        <f>COUNTIF(Weekend_Template!$D$4:$G$60, "Released / Dead Ice")</f>
        <v/>
      </c>
      <c r="E9" s="19">
        <f>SUM(C9:D9)</f>
        <v/>
      </c>
    </row>
    <row r="10">
      <c r="B10" s="7" t="inlineStr">
        <is>
          <t>TAMHA Development</t>
        </is>
      </c>
      <c r="C10" s="5">
        <f>COUNTIF(Weekday_Template!$D$4:$P$50, "TAMHA Development")</f>
        <v/>
      </c>
      <c r="D10" s="5">
        <f>COUNTIF(Weekend_Template!$D$4:$G$60, "TAMHA Development")</f>
        <v/>
      </c>
      <c r="E10" s="19">
        <f>SUM(C10:D10)</f>
        <v/>
      </c>
    </row>
    <row r="11">
      <c r="B11" s="7" t="inlineStr">
        <is>
          <t>Arena Conflict</t>
        </is>
      </c>
      <c r="C11" s="5">
        <f>COUNTIF(Weekday_Template!$D$4:$P$50, "Arena Conflict")</f>
        <v/>
      </c>
      <c r="D11" s="5">
        <f>COUNTIF(Weekend_Template!$D$4:$G$60, "Arena Conflict")</f>
        <v/>
      </c>
      <c r="E11" s="19">
        <f>SUM(C11:D11)</f>
        <v/>
      </c>
    </row>
    <row r="15">
      <c r="B15" s="4" t="inlineStr">
        <is>
          <t>Team / User</t>
        </is>
      </c>
      <c r="C15" s="4" t="inlineStr">
        <is>
          <t>Division</t>
        </is>
      </c>
      <c r="D15" s="4" t="inlineStr">
        <is>
          <t>Weekday Slots</t>
        </is>
      </c>
      <c r="E15" s="4" t="inlineStr">
        <is>
          <t>Weekend Slots</t>
        </is>
      </c>
      <c r="F15" s="4" t="inlineStr">
        <is>
          <t>Total Slots</t>
        </is>
      </c>
    </row>
    <row r="16">
      <c r="B16" s="6" t="inlineStr">
        <is>
          <t>U7 - Group 4</t>
        </is>
      </c>
      <c r="C16" s="5" t="inlineStr">
        <is>
          <t>U7</t>
        </is>
      </c>
      <c r="D16" s="5">
        <f>COUNTIF(Weekday_Template!$C$4:$O$50, "U7 - Group 4")</f>
        <v/>
      </c>
      <c r="E16" s="5">
        <f>COUNTIF(Weekend_Template!$C$4:$F$60, "U7 - Group 4")</f>
        <v/>
      </c>
      <c r="F16" s="19">
        <f>SUM(D16:E16)</f>
        <v/>
      </c>
    </row>
    <row r="17">
      <c r="B17" s="6" t="inlineStr">
        <is>
          <t>U7 - 5 Blue</t>
        </is>
      </c>
      <c r="C17" s="5" t="inlineStr">
        <is>
          <t>U7</t>
        </is>
      </c>
      <c r="D17" s="5">
        <f>COUNTIF(Weekday_Template!$C$4:$O$50, "U7 - 5 Blue")</f>
        <v/>
      </c>
      <c r="E17" s="5">
        <f>COUNTIF(Weekend_Template!$C$4:$F$60, "U7 - 5 Blue")</f>
        <v/>
      </c>
      <c r="F17" s="19">
        <f>SUM(D17:E17)</f>
        <v/>
      </c>
    </row>
    <row r="18">
      <c r="B18" s="6" t="inlineStr">
        <is>
          <t>U7 - 5 Orange</t>
        </is>
      </c>
      <c r="C18" s="5" t="inlineStr">
        <is>
          <t>U7</t>
        </is>
      </c>
      <c r="D18" s="5">
        <f>COUNTIF(Weekday_Template!$C$4:$O$50, "U7 - 5 Orange")</f>
        <v/>
      </c>
      <c r="E18" s="5">
        <f>COUNTIF(Weekend_Template!$C$4:$F$60, "U7 - 5 Orange")</f>
        <v/>
      </c>
      <c r="F18" s="19">
        <f>SUM(D18:E18)</f>
        <v/>
      </c>
    </row>
    <row r="19">
      <c r="B19" s="6" t="inlineStr">
        <is>
          <t>U7 - Group 6</t>
        </is>
      </c>
      <c r="C19" s="5" t="inlineStr">
        <is>
          <t>U7</t>
        </is>
      </c>
      <c r="D19" s="5">
        <f>COUNTIF(Weekday_Template!$C$4:$O$50, "U7 - Group 6")</f>
        <v/>
      </c>
      <c r="E19" s="5">
        <f>COUNTIF(Weekend_Template!$C$4:$F$60, "U7 - Group 6")</f>
        <v/>
      </c>
      <c r="F19" s="19">
        <f>SUM(D19:E19)</f>
        <v/>
      </c>
    </row>
    <row r="20">
      <c r="B20" s="6" t="inlineStr">
        <is>
          <t>U9 - Intermediate</t>
        </is>
      </c>
      <c r="C20" s="5" t="inlineStr">
        <is>
          <t>U9</t>
        </is>
      </c>
      <c r="D20" s="5">
        <f>COUNTIF(Weekday_Template!$C$4:$O$50, "U9 - Intermediate")</f>
        <v/>
      </c>
      <c r="E20" s="5">
        <f>COUNTIF(Weekend_Template!$C$4:$F$60, "U9 - Intermediate")</f>
        <v/>
      </c>
      <c r="F20" s="19">
        <f>SUM(D20:E20)</f>
        <v/>
      </c>
    </row>
    <row r="21">
      <c r="B21" s="6" t="inlineStr">
        <is>
          <t>U9 - Advanced</t>
        </is>
      </c>
      <c r="C21" s="5" t="inlineStr">
        <is>
          <t>U9</t>
        </is>
      </c>
      <c r="D21" s="5">
        <f>COUNTIF(Weekday_Template!$C$4:$O$50, "U9 - Advanced")</f>
        <v/>
      </c>
      <c r="E21" s="5">
        <f>COUNTIF(Weekend_Template!$C$4:$F$60, "U9 - Advanced")</f>
        <v/>
      </c>
      <c r="F21" s="19">
        <f>SUM(D21:E21)</f>
        <v/>
      </c>
    </row>
    <row r="22">
      <c r="B22" s="6" t="inlineStr">
        <is>
          <t>U9 - Jayasinghe</t>
        </is>
      </c>
      <c r="C22" s="5" t="inlineStr">
        <is>
          <t>U9</t>
        </is>
      </c>
      <c r="D22" s="5">
        <f>COUNTIF(Weekday_Template!$C$4:$O$50, "U9 - Jayasinghe")</f>
        <v/>
      </c>
      <c r="E22" s="5">
        <f>COUNTIF(Weekend_Template!$C$4:$F$60, "U9 - Jayasinghe")</f>
        <v/>
      </c>
      <c r="F22" s="19">
        <f>SUM(D22:E22)</f>
        <v/>
      </c>
    </row>
    <row r="23">
      <c r="B23" s="6" t="inlineStr">
        <is>
          <t>U9 - John</t>
        </is>
      </c>
      <c r="C23" s="5" t="inlineStr">
        <is>
          <t>U9</t>
        </is>
      </c>
      <c r="D23" s="5">
        <f>COUNTIF(Weekday_Template!$C$4:$O$50, "U9 - John")</f>
        <v/>
      </c>
      <c r="E23" s="5">
        <f>COUNTIF(Weekend_Template!$C$4:$F$60, "U9 - John")</f>
        <v/>
      </c>
      <c r="F23" s="19">
        <f>SUM(D23:E23)</f>
        <v/>
      </c>
    </row>
    <row r="24">
      <c r="B24" s="6" t="inlineStr">
        <is>
          <t>U11 AA</t>
        </is>
      </c>
      <c r="C24" s="5" t="inlineStr">
        <is>
          <t>U11</t>
        </is>
      </c>
      <c r="D24" s="5">
        <f>COUNTIF(Weekday_Template!$C$4:$O$50, "U11 AA")</f>
        <v/>
      </c>
      <c r="E24" s="5">
        <f>COUNTIF(Weekend_Template!$C$4:$F$60, "U11 AA")</f>
        <v/>
      </c>
      <c r="F24" s="19">
        <f>SUM(D24:E24)</f>
        <v/>
      </c>
    </row>
    <row r="25">
      <c r="B25" s="6" t="inlineStr">
        <is>
          <t>U11 A</t>
        </is>
      </c>
      <c r="C25" s="5" t="inlineStr">
        <is>
          <t>U11</t>
        </is>
      </c>
      <c r="D25" s="5">
        <f>COUNTIF(Weekday_Template!$C$4:$O$50, "U11 A")</f>
        <v/>
      </c>
      <c r="E25" s="5">
        <f>COUNTIF(Weekend_Template!$C$4:$F$60, "U11 A")</f>
        <v/>
      </c>
      <c r="F25" s="19">
        <f>SUM(D25:E25)</f>
        <v/>
      </c>
    </row>
    <row r="26">
      <c r="B26" s="6" t="inlineStr">
        <is>
          <t>U11 B</t>
        </is>
      </c>
      <c r="C26" s="5" t="inlineStr">
        <is>
          <t>U11</t>
        </is>
      </c>
      <c r="D26" s="5">
        <f>COUNTIF(Weekday_Template!$C$4:$O$50, "U11 B")</f>
        <v/>
      </c>
      <c r="E26" s="5">
        <f>COUNTIF(Weekend_Template!$C$4:$F$60, "U11 B")</f>
        <v/>
      </c>
      <c r="F26" s="19">
        <f>SUM(D26:E26)</f>
        <v/>
      </c>
    </row>
    <row r="27">
      <c r="B27" s="6" t="inlineStr">
        <is>
          <t>U11 C - Bernard</t>
        </is>
      </c>
      <c r="C27" s="5" t="inlineStr">
        <is>
          <t>U11</t>
        </is>
      </c>
      <c r="D27" s="5">
        <f>COUNTIF(Weekday_Template!$C$4:$O$50, "U11 C - Bernard")</f>
        <v/>
      </c>
      <c r="E27" s="5">
        <f>COUNTIF(Weekend_Template!$C$4:$F$60, "U11 C - Bernard")</f>
        <v/>
      </c>
      <c r="F27" s="19">
        <f>SUM(D27:E27)</f>
        <v/>
      </c>
    </row>
    <row r="28">
      <c r="B28" s="6" t="inlineStr">
        <is>
          <t>U11 C - Simms</t>
        </is>
      </c>
      <c r="C28" s="5" t="inlineStr">
        <is>
          <t>U11</t>
        </is>
      </c>
      <c r="D28" s="5">
        <f>COUNTIF(Weekday_Template!$C$4:$O$50, "U11 C - Simms")</f>
        <v/>
      </c>
      <c r="E28" s="5">
        <f>COUNTIF(Weekend_Template!$C$4:$F$60, "U11 C - Simms")</f>
        <v/>
      </c>
      <c r="F28" s="19">
        <f>SUM(D28:E28)</f>
        <v/>
      </c>
    </row>
    <row r="29">
      <c r="B29" s="6" t="inlineStr">
        <is>
          <t>U13 AAA</t>
        </is>
      </c>
      <c r="C29" s="5" t="inlineStr">
        <is>
          <t>U13</t>
        </is>
      </c>
      <c r="D29" s="5">
        <f>COUNTIF(Weekday_Template!$C$4:$O$50, "U13 AAA")</f>
        <v/>
      </c>
      <c r="E29" s="5">
        <f>COUNTIF(Weekend_Template!$C$4:$F$60, "U13 AAA")</f>
        <v/>
      </c>
      <c r="F29" s="19">
        <f>SUM(D29:E29)</f>
        <v/>
      </c>
    </row>
    <row r="30">
      <c r="B30" s="6" t="inlineStr">
        <is>
          <t>U13 AA</t>
        </is>
      </c>
      <c r="C30" s="5" t="inlineStr">
        <is>
          <t>U13</t>
        </is>
      </c>
      <c r="D30" s="5">
        <f>COUNTIF(Weekday_Template!$C$4:$O$50, "U13 AA")</f>
        <v/>
      </c>
      <c r="E30" s="5">
        <f>COUNTIF(Weekend_Template!$C$4:$F$60, "U13 AA")</f>
        <v/>
      </c>
      <c r="F30" s="19">
        <f>SUM(D30:E30)</f>
        <v/>
      </c>
    </row>
    <row r="31">
      <c r="B31" s="6" t="inlineStr">
        <is>
          <t>U13 A - Malone</t>
        </is>
      </c>
      <c r="C31" s="5" t="inlineStr">
        <is>
          <t>U13</t>
        </is>
      </c>
      <c r="D31" s="5">
        <f>COUNTIF(Weekday_Template!$C$4:$O$50, "U13 A - Malone")</f>
        <v/>
      </c>
      <c r="E31" s="5">
        <f>COUNTIF(Weekend_Template!$C$4:$F$60, "U13 A - Malone")</f>
        <v/>
      </c>
      <c r="F31" s="19">
        <f>SUM(D31:E31)</f>
        <v/>
      </c>
    </row>
    <row r="32">
      <c r="B32" s="6" t="inlineStr">
        <is>
          <t>U13 B</t>
        </is>
      </c>
      <c r="C32" s="5" t="inlineStr">
        <is>
          <t>U13</t>
        </is>
      </c>
      <c r="D32" s="5">
        <f>COUNTIF(Weekday_Template!$C$4:$O$50, "U13 B")</f>
        <v/>
      </c>
      <c r="E32" s="5">
        <f>COUNTIF(Weekend_Template!$C$4:$F$60, "U13 B")</f>
        <v/>
      </c>
      <c r="F32" s="19">
        <f>SUM(D32:E32)</f>
        <v/>
      </c>
    </row>
    <row r="33">
      <c r="B33" s="6" t="inlineStr">
        <is>
          <t>U13 C - Campbell</t>
        </is>
      </c>
      <c r="C33" s="5" t="inlineStr">
        <is>
          <t>U13</t>
        </is>
      </c>
      <c r="D33" s="5">
        <f>COUNTIF(Weekday_Template!$C$4:$O$50, "U13 C - Campbell")</f>
        <v/>
      </c>
      <c r="E33" s="5">
        <f>COUNTIF(Weekend_Template!$C$4:$F$60, "U13 C - Campbell")</f>
        <v/>
      </c>
      <c r="F33" s="19">
        <f>SUM(D33:E33)</f>
        <v/>
      </c>
    </row>
    <row r="34">
      <c r="B34" s="6" t="inlineStr">
        <is>
          <t>U13 C - Cameron</t>
        </is>
      </c>
      <c r="C34" s="5" t="inlineStr">
        <is>
          <t>U13</t>
        </is>
      </c>
      <c r="D34" s="5">
        <f>COUNTIF(Weekday_Template!$C$4:$O$50, "U13 C - Cameron")</f>
        <v/>
      </c>
      <c r="E34" s="5">
        <f>COUNTIF(Weekend_Template!$C$4:$F$60, "U13 C - Cameron")</f>
        <v/>
      </c>
      <c r="F34" s="19">
        <f>SUM(D34:E34)</f>
        <v/>
      </c>
    </row>
    <row r="35">
      <c r="B35" s="6" t="inlineStr">
        <is>
          <t>U15 AA</t>
        </is>
      </c>
      <c r="C35" s="5" t="inlineStr">
        <is>
          <t>U15</t>
        </is>
      </c>
      <c r="D35" s="5">
        <f>COUNTIF(Weekday_Template!$C$4:$O$50, "U15 AA")</f>
        <v/>
      </c>
      <c r="E35" s="5">
        <f>COUNTIF(Weekend_Template!$C$4:$F$60, "U15 AA")</f>
        <v/>
      </c>
      <c r="F35" s="19">
        <f>SUM(D35:E35)</f>
        <v/>
      </c>
    </row>
    <row r="36">
      <c r="B36" s="6" t="inlineStr">
        <is>
          <t>U15 A</t>
        </is>
      </c>
      <c r="C36" s="5" t="inlineStr">
        <is>
          <t>U15</t>
        </is>
      </c>
      <c r="D36" s="5">
        <f>COUNTIF(Weekday_Template!$C$4:$O$50, "U15 A")</f>
        <v/>
      </c>
      <c r="E36" s="5">
        <f>COUNTIF(Weekend_Template!$C$4:$F$60, "U15 A")</f>
        <v/>
      </c>
      <c r="F36" s="19">
        <f>SUM(D36:E36)</f>
        <v/>
      </c>
    </row>
    <row r="37">
      <c r="B37" s="6" t="inlineStr">
        <is>
          <t>U15 C - Bernard</t>
        </is>
      </c>
      <c r="C37" s="5" t="inlineStr">
        <is>
          <t>U15</t>
        </is>
      </c>
      <c r="D37" s="5">
        <f>COUNTIF(Weekday_Template!$C$4:$O$50, "U15 C - Bernard")</f>
        <v/>
      </c>
      <c r="E37" s="5">
        <f>COUNTIF(Weekend_Template!$C$4:$F$60, "U15 C - Bernard")</f>
        <v/>
      </c>
      <c r="F37" s="19">
        <f>SUM(D37:E37)</f>
        <v/>
      </c>
    </row>
    <row r="38">
      <c r="B38" s="6" t="inlineStr">
        <is>
          <t>U15 C - Campbell</t>
        </is>
      </c>
      <c r="C38" s="5" t="inlineStr">
        <is>
          <t>U15</t>
        </is>
      </c>
      <c r="D38" s="5">
        <f>COUNTIF(Weekday_Template!$C$4:$O$50, "U15 C - Campbell")</f>
        <v/>
      </c>
      <c r="E38" s="5">
        <f>COUNTIF(Weekend_Template!$C$4:$F$60, "U15 C - Campbell")</f>
        <v/>
      </c>
      <c r="F38" s="19">
        <f>SUM(D38:E38)</f>
        <v/>
      </c>
    </row>
    <row r="39">
      <c r="B39" s="6" t="inlineStr">
        <is>
          <t>U18 AA</t>
        </is>
      </c>
      <c r="C39" s="5" t="inlineStr">
        <is>
          <t>U18</t>
        </is>
      </c>
      <c r="D39" s="5">
        <f>COUNTIF(Weekday_Template!$C$4:$O$50, "U18 AA")</f>
        <v/>
      </c>
      <c r="E39" s="5">
        <f>COUNTIF(Weekend_Template!$C$4:$F$60, "U18 AA")</f>
        <v/>
      </c>
      <c r="F39" s="19">
        <f>SUM(D39:E39)</f>
        <v/>
      </c>
    </row>
    <row r="40">
      <c r="B40" s="6" t="inlineStr">
        <is>
          <t>U18 A</t>
        </is>
      </c>
      <c r="C40" s="5" t="inlineStr">
        <is>
          <t>U18</t>
        </is>
      </c>
      <c r="D40" s="5">
        <f>COUNTIF(Weekday_Template!$C$4:$O$50, "U18 A")</f>
        <v/>
      </c>
      <c r="E40" s="5">
        <f>COUNTIF(Weekend_Template!$C$4:$F$60, "U18 A")</f>
        <v/>
      </c>
      <c r="F40" s="19">
        <f>SUM(D40:E40)</f>
        <v/>
      </c>
    </row>
    <row r="41">
      <c r="B41" s="6" t="inlineStr">
        <is>
          <t>U18 C - Masters</t>
        </is>
      </c>
      <c r="C41" s="5" t="inlineStr">
        <is>
          <t>U18</t>
        </is>
      </c>
      <c r="D41" s="5">
        <f>COUNTIF(Weekday_Template!$C$4:$O$50, "U18 C - Masters")</f>
        <v/>
      </c>
      <c r="E41" s="5">
        <f>COUNTIF(Weekend_Template!$C$4:$F$60, "U18 C - Masters")</f>
        <v/>
      </c>
      <c r="F41" s="19">
        <f>SUM(D41:E41)</f>
        <v/>
      </c>
    </row>
    <row r="42">
      <c r="B42" s="6" t="inlineStr">
        <is>
          <t>U18 C - Wood</t>
        </is>
      </c>
      <c r="C42" s="5" t="inlineStr">
        <is>
          <t>U18</t>
        </is>
      </c>
      <c r="D42" s="5">
        <f>COUNTIF(Weekday_Template!$C$4:$O$50, "U18 C - Wood")</f>
        <v/>
      </c>
      <c r="E42" s="5">
        <f>COUNTIF(Weekend_Template!$C$4:$F$60, "U18 C - Wood")</f>
        <v/>
      </c>
      <c r="F42" s="19">
        <f>SUM(D42:E42)</f>
        <v/>
      </c>
    </row>
    <row r="43">
      <c r="B43" s="6" t="inlineStr">
        <is>
          <t>Dev - TAMHA Skills</t>
        </is>
      </c>
      <c r="C43" s="5" t="inlineStr">
        <is>
          <t>Assoc</t>
        </is>
      </c>
      <c r="D43" s="5">
        <f>COUNTIF(Weekday_Template!$C$4:$O$50, "Dev - TAMHA Skills")</f>
        <v/>
      </c>
      <c r="E43" s="5">
        <f>COUNTIF(Weekend_Template!$C$4:$F$60, "Dev - TAMHA Skills")</f>
        <v/>
      </c>
      <c r="F43" s="19">
        <f>SUM(D43:E43)</f>
        <v/>
      </c>
    </row>
    <row r="44">
      <c r="B44" s="6" t="inlineStr">
        <is>
          <t>Dev - Goalie Clinic</t>
        </is>
      </c>
      <c r="C44" s="5" t="inlineStr">
        <is>
          <t>Assoc</t>
        </is>
      </c>
      <c r="D44" s="5">
        <f>COUNTIF(Weekday_Template!$C$4:$O$50, "Dev - Goalie Clinic")</f>
        <v/>
      </c>
      <c r="E44" s="5">
        <f>COUNTIF(Weekend_Template!$C$4:$F$60, "Dev - Goalie Clinic")</f>
        <v/>
      </c>
      <c r="F44" s="19">
        <f>SUM(D44:E44)</f>
        <v/>
      </c>
    </row>
    <row r="45">
      <c r="B45" s="6" t="inlineStr">
        <is>
          <t>Dev - Defense Clinic</t>
        </is>
      </c>
      <c r="C45" s="5" t="inlineStr">
        <is>
          <t>Assoc</t>
        </is>
      </c>
      <c r="D45" s="5">
        <f>COUNTIF(Weekday_Template!$C$4:$O$50, "Dev - Defense Clinic")</f>
        <v/>
      </c>
      <c r="E45" s="5">
        <f>COUNTIF(Weekend_Template!$C$4:$F$60, "Dev - Defense Clinic")</f>
        <v/>
      </c>
      <c r="F45" s="19">
        <f>SUM(D45:E45)</f>
        <v/>
      </c>
    </row>
    <row r="46">
      <c r="B46" s="6" t="inlineStr">
        <is>
          <t>Clinic - Officials</t>
        </is>
      </c>
      <c r="C46" s="5" t="inlineStr">
        <is>
          <t>Assoc</t>
        </is>
      </c>
      <c r="D46" s="5">
        <f>COUNTIF(Weekday_Template!$C$4:$O$50, "Clinic - Officials")</f>
        <v/>
      </c>
      <c r="E46" s="5">
        <f>COUNTIF(Weekend_Template!$C$4:$F$60, "Clinic - Officials")</f>
        <v/>
      </c>
      <c r="F46" s="19">
        <f>SUM(D46:E46)</f>
        <v/>
      </c>
    </row>
    <row r="47">
      <c r="B47" s="6" t="inlineStr">
        <is>
          <t>External - Jr A Bearcats</t>
        </is>
      </c>
      <c r="C47" s="5" t="inlineStr">
        <is>
          <t>External</t>
        </is>
      </c>
      <c r="D47" s="5">
        <f>COUNTIF(Weekday_Template!$C$4:$O$50, "External - Jr A Bearcats")</f>
        <v/>
      </c>
      <c r="E47" s="5">
        <f>COUNTIF(Weekend_Template!$C$4:$F$60, "External - Jr A Bearcats")</f>
        <v/>
      </c>
      <c r="F47" s="19">
        <f>SUM(D47:E47)</f>
        <v/>
      </c>
    </row>
    <row r="48">
      <c r="B48" s="6" t="inlineStr">
        <is>
          <t>External - Senior Game</t>
        </is>
      </c>
      <c r="C48" s="5" t="inlineStr">
        <is>
          <t>External</t>
        </is>
      </c>
      <c r="D48" s="5">
        <f>COUNTIF(Weekday_Template!$C$4:$O$50, "External - Senior Game")</f>
        <v/>
      </c>
      <c r="E48" s="5">
        <f>COUNTIF(Weekend_Template!$C$4:$F$60, "External - Senior Game")</f>
        <v/>
      </c>
      <c r="F48" s="19">
        <f>SUM(D48:E48)</f>
        <v/>
      </c>
    </row>
    <row r="49">
      <c r="B49" s="6" t="inlineStr">
        <is>
          <t>External - High School</t>
        </is>
      </c>
      <c r="C49" s="5" t="inlineStr">
        <is>
          <t>External</t>
        </is>
      </c>
      <c r="D49" s="5">
        <f>COUNTIF(Weekday_Template!$C$4:$O$50, "External - High School")</f>
        <v/>
      </c>
      <c r="E49" s="5">
        <f>COUNTIF(Weekend_Template!$C$4:$F$60, "External - High School")</f>
        <v/>
      </c>
      <c r="F49" s="19">
        <f>SUM(D49:E49)</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2026-10-01T12:53:50Z</dcterms:created>
  <dcterms:modified xmlns:dcterms="http://purl.org/dc/terms/" xmlns:xsi="http://www.w3.org/2001/XMLSchema-instance" xsi:type="dcterms:W3CDTF">2026-10-01T12:53:50Z</dcterms:modified>
</cp:coreProperties>
</file>