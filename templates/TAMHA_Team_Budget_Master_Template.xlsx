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Summary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Bank Rec" sheetId="4" state="visible" r:id="rId4"/>
    <sheet xmlns:r="http://schemas.openxmlformats.org/officeDocument/2006/relationships" name="Roster &amp; Fee Track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8FAFC"/>
      <sz val="10"/>
    </font>
    <font>
      <name val="Calibri"/>
      <b val="1"/>
      <color rgb="001E293B"/>
      <sz val="10"/>
    </font>
    <font>
      <name val="Calibri"/>
      <color rgb="000F172A"/>
      <sz val="10"/>
    </font>
    <font>
      <name val="Calibri"/>
      <b val="1"/>
      <color rgb="00FFFFFF"/>
      <sz val="11"/>
    </font>
    <font>
      <name val="Calibri"/>
      <b val="1"/>
      <color rgb="001E293B"/>
      <sz val="14"/>
    </font>
  </fonts>
  <fills count="9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E2E8F0"/>
        <bgColor rgb="00E2E8F0"/>
      </patternFill>
    </fill>
    <fill>
      <patternFill patternType="solid">
        <fgColor rgb="00F0F9FF"/>
        <bgColor rgb="00F0F9FF"/>
      </patternFill>
    </fill>
    <fill>
      <patternFill patternType="solid">
        <fgColor rgb="00334155"/>
        <bgColor rgb="00334155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right" vertical="center"/>
    </xf>
    <xf numFmtId="0" fontId="3" fillId="3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6" borderId="3" pivotButton="0" quotePrefix="0" xfId="0"/>
    <xf numFmtId="164" fontId="3" fillId="6" borderId="3" applyAlignment="1" pivotButton="0" quotePrefix="0" xfId="0">
      <alignment horizontal="right" vertical="center"/>
    </xf>
    <xf numFmtId="165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5" fillId="5" borderId="0" pivotButton="0" quotePrefix="0" xfId="0"/>
    <xf numFmtId="0" fontId="3" fillId="7" borderId="1" applyAlignment="1" pivotButton="0" quotePrefix="0" xfId="0">
      <alignment horizontal="left" vertical="center"/>
    </xf>
    <xf numFmtId="164" fontId="3" fillId="7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3" fillId="7" borderId="3" pivotButton="0" quotePrefix="0" xfId="0"/>
    <xf numFmtId="164" fontId="3" fillId="7" borderId="3" applyAlignment="1" pivotButton="0" quotePrefix="0" xfId="0">
      <alignment horizontal="right" vertical="center"/>
    </xf>
    <xf numFmtId="0" fontId="3" fillId="8" borderId="3" pivotButton="0" quotePrefix="0" xfId="0"/>
    <xf numFmtId="164" fontId="3" fillId="8" borderId="3" applyAlignment="1" pivotButton="0" quotePrefix="0" xfId="0">
      <alignment horizontal="right" vertical="center"/>
    </xf>
    <xf numFmtId="0" fontId="3" fillId="3" borderId="0" pivotButton="0" quotePrefix="0" xfId="0"/>
    <xf numFmtId="164" fontId="6" fillId="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3" fillId="7" borderId="3" applyAlignment="1" pivotButton="0" quotePrefix="0" xfId="0">
      <alignment horizontal="center" vertical="center"/>
    </xf>
    <xf numFmtId="164" fontId="4" fillId="0" borderId="1" pivotButton="0" quotePrefix="0" xfId="0"/>
    <xf numFmtId="0" fontId="0" fillId="0" borderId="3" pivotButton="0" quotePrefix="0" xfId="0"/>
    <xf numFmtId="0" fontId="3" fillId="0" borderId="3" pivotButton="0" quotePrefix="0" xfId="0"/>
    <xf numFmtId="0" fontId="3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40" customWidth="1" min="7" max="7"/>
  </cols>
  <sheetData>
    <row r="1">
      <c r="A1" s="1" t="inlineStr">
        <is>
          <t>TRURO AREA MINOR HOCKEY ASSOCIATION (TAMHA)</t>
        </is>
      </c>
    </row>
    <row r="2">
      <c r="A2" s="2" t="inlineStr">
        <is>
          <t>Official Team Operating Budget &amp; Financial Reporting Ledger (2026–2027 Season)</t>
        </is>
      </c>
    </row>
    <row r="4">
      <c r="A4" s="3" t="inlineStr">
        <is>
          <t>Team Division &amp; Name:</t>
        </is>
      </c>
      <c r="B4" s="4" t="inlineStr">
        <is>
          <t>Truro Bearcats U13 A</t>
        </is>
      </c>
      <c r="D4" s="3" t="inlineStr">
        <is>
          <t>Team Tier:</t>
        </is>
      </c>
      <c r="E4" s="4" t="inlineStr">
        <is>
          <t>Rep (AA / A / B)</t>
        </is>
      </c>
      <c r="F4" s="3" t="inlineStr">
        <is>
          <t>Roster Players:</t>
        </is>
      </c>
      <c r="G4" s="5" t="n">
        <v>17</v>
      </c>
    </row>
    <row r="5">
      <c r="A5" s="3" t="inlineStr">
        <is>
          <t>Head Coach:</t>
        </is>
      </c>
      <c r="B5" s="4" t="inlineStr">
        <is>
          <t>Tom Malone</t>
        </is>
      </c>
      <c r="D5" s="3" t="inlineStr">
        <is>
          <t>Team Manager:</t>
        </is>
      </c>
      <c r="E5" s="4" t="inlineStr">
        <is>
          <t>Matt Redmond</t>
        </is>
      </c>
      <c r="F5" s="3" t="inlineStr">
        <is>
          <t>Team Treasurer:</t>
        </is>
      </c>
      <c r="G5" s="4" t="inlineStr">
        <is>
          <t>Amy Redmond</t>
        </is>
      </c>
    </row>
    <row r="6">
      <c r="A6" s="3" t="inlineStr">
        <is>
          <t>Mosaik Account #:</t>
        </is>
      </c>
      <c r="B6" s="4" t="inlineStr">
        <is>
          <t>299688400</t>
        </is>
      </c>
      <c r="D6" s="3" t="inlineStr">
        <is>
          <t>Reporting Stage:</t>
        </is>
      </c>
      <c r="E6" s="4" t="inlineStr">
        <is>
          <t>Initial Budget (Oct 30)</t>
        </is>
      </c>
      <c r="F6" s="3" t="inlineStr">
        <is>
          <t>Season Status:</t>
        </is>
      </c>
      <c r="G6" s="4" t="inlineStr">
        <is>
          <t>Active</t>
        </is>
      </c>
    </row>
    <row r="12">
      <c r="A12" s="6" t="inlineStr">
        <is>
          <t>1.0 REVENUE SUMMARY (ROLLUP FROM INCOME SHEET)</t>
        </is>
      </c>
    </row>
    <row r="13">
      <c r="A13" s="7" t="inlineStr">
        <is>
          <t>Revenue Category</t>
        </is>
      </c>
      <c r="B13" s="8" t="inlineStr">
        <is>
          <t>Projected ($)</t>
        </is>
      </c>
      <c r="C13" s="8" t="inlineStr">
        <is>
          <t>Actual YTD ($)</t>
        </is>
      </c>
      <c r="D13" s="8" t="inlineStr">
        <is>
          <t>Variance ($)</t>
        </is>
      </c>
      <c r="E13" s="9" t="inlineStr">
        <is>
          <t>% Achieved</t>
        </is>
      </c>
      <c r="F13" s="9" t="inlineStr">
        <is>
          <t>Status</t>
        </is>
      </c>
      <c r="G13" s="7" t="inlineStr">
        <is>
          <t>Notes / Verification</t>
        </is>
      </c>
    </row>
    <row r="14">
      <c r="A14" s="10" t="inlineStr">
        <is>
          <t>1.1 Corporate &amp; Local Sponsorships</t>
        </is>
      </c>
      <c r="B14" s="11">
        <f>Income!E14</f>
        <v/>
      </c>
      <c r="C14" s="11">
        <f>Income!F14</f>
        <v/>
      </c>
      <c r="D14" s="11">
        <f>C14-B14</f>
        <v/>
      </c>
      <c r="E14" s="12">
        <f>IF(B14&gt;0, C14/B14, 0)</f>
        <v/>
      </c>
      <c r="F14" s="13">
        <f>IF(D14&gt;=0,"On Target","Pending")</f>
        <v/>
      </c>
      <c r="G14" s="10" t="inlineStr">
        <is>
          <t>Team sponsors &amp; banner ads</t>
        </is>
      </c>
    </row>
    <row r="15">
      <c r="A15" s="10" t="inlineStr">
        <is>
          <t>1.2 Team Fundraising Initiatives</t>
        </is>
      </c>
      <c r="B15" s="11">
        <f>Income!D23</f>
        <v/>
      </c>
      <c r="C15" s="11">
        <f>Income!E23</f>
        <v/>
      </c>
      <c r="D15" s="11">
        <f>C15-B15</f>
        <v/>
      </c>
      <c r="E15" s="12">
        <f>IF(B15&gt;0, C15/B15, 0)</f>
        <v/>
      </c>
      <c r="F15" s="13">
        <f>IF(D15&gt;=0,"On Target","In Progress")</f>
        <v/>
      </c>
      <c r="G15" s="10" t="inlineStr">
        <is>
          <t>Bottle drive, 50/50, draws</t>
        </is>
      </c>
    </row>
    <row r="16">
      <c r="A16" s="10" t="inlineStr">
        <is>
          <t>1.3 Parent Fee Contributions (Rep/Team Fees)</t>
        </is>
      </c>
      <c r="B16" s="11">
        <f>Income!D33</f>
        <v/>
      </c>
      <c r="C16" s="11">
        <f>Income!E33</f>
        <v/>
      </c>
      <c r="D16" s="11">
        <f>C16-B16</f>
        <v/>
      </c>
      <c r="E16" s="12">
        <f>IF(B16&gt;0, C16/B16, 0)</f>
        <v/>
      </c>
      <c r="F16" s="13">
        <f>IF(D16&gt;=0,"Collected","Pending")</f>
        <v/>
      </c>
      <c r="G16" s="10" t="inlineStr">
        <is>
          <t>Per-player installments</t>
        </is>
      </c>
    </row>
    <row r="17">
      <c r="A17" s="10" t="inlineStr">
        <is>
          <t>1.4 Parent Jersey Deposits (Held in Trust)</t>
        </is>
      </c>
      <c r="B17" s="11">
        <f>Income!D41</f>
        <v/>
      </c>
      <c r="C17" s="11">
        <f>Income!E41</f>
        <v/>
      </c>
      <c r="D17" s="11">
        <f>C17-B17</f>
        <v/>
      </c>
      <c r="E17" s="12">
        <f>IF(B17&gt;0, C17/B17, 0)</f>
        <v/>
      </c>
      <c r="F17" s="13">
        <f>IF(D17&gt;=0,"Collected","Pending")</f>
        <v/>
      </c>
      <c r="G17" s="10" t="inlineStr">
        <is>
          <t>Refunded at end of season</t>
        </is>
      </c>
    </row>
    <row r="18">
      <c r="A18" s="10" t="inlineStr">
        <is>
          <t>1.5 Bank Interest &amp; Miscellaneous Revenue</t>
        </is>
      </c>
      <c r="B18" s="11">
        <f>Income!D47</f>
        <v/>
      </c>
      <c r="C18" s="11">
        <f>Income!E47</f>
        <v/>
      </c>
      <c r="D18" s="11">
        <f>C18-B18</f>
        <v/>
      </c>
      <c r="E18" s="12">
        <f>IF(B18&gt;0, C18/B18, 0)</f>
        <v/>
      </c>
      <c r="F18" s="13" t="inlineStr">
        <is>
          <t>"Balanced"</t>
        </is>
      </c>
      <c r="G18" s="10" t="inlineStr">
        <is>
          <t>Account interest / other</t>
        </is>
      </c>
    </row>
    <row r="21">
      <c r="A21" s="14" t="inlineStr">
        <is>
          <t>TOTAL PROJECTED &amp; ACTUAL REVENUE</t>
        </is>
      </c>
      <c r="B21" s="15">
        <f>SUM(B14:B18)</f>
        <v/>
      </c>
      <c r="C21" s="15">
        <f>SUM(C14:C18)</f>
        <v/>
      </c>
      <c r="D21" s="15">
        <f>C21-B21</f>
        <v/>
      </c>
      <c r="E21" s="16">
        <f>IF(B21&gt;0, C21/B21, 0)</f>
        <v/>
      </c>
      <c r="F21" s="17">
        <f>IF(D21&gt;=0,"SURPLUS / ON TRACK","DEFICIT")</f>
        <v/>
      </c>
      <c r="G21" s="14" t="inlineStr">
        <is>
          <t>Rolls up all 5 income categories</t>
        </is>
      </c>
    </row>
    <row r="24">
      <c r="A24" s="6" t="inlineStr">
        <is>
          <t>2.0 EXPENSE SUMMARY (ROLLUP FROM EXPENSES SHEET)</t>
        </is>
      </c>
    </row>
    <row r="25">
      <c r="A25" s="7" t="inlineStr">
        <is>
          <t>Expense Category</t>
        </is>
      </c>
      <c r="B25" s="8" t="inlineStr">
        <is>
          <t>Projected ($)</t>
        </is>
      </c>
      <c r="C25" s="8" t="inlineStr">
        <is>
          <t>Actual YTD ($)</t>
        </is>
      </c>
      <c r="D25" s="8" t="inlineStr">
        <is>
          <t>Variance ($)</t>
        </is>
      </c>
      <c r="E25" s="9" t="inlineStr">
        <is>
          <t>% Spent</t>
        </is>
      </c>
      <c r="F25" s="9" t="inlineStr">
        <is>
          <t>Status</t>
        </is>
      </c>
      <c r="G25" s="7" t="inlineStr">
        <is>
          <t>Notes / Verification</t>
        </is>
      </c>
    </row>
    <row r="26">
      <c r="A26" s="10" t="inlineStr">
        <is>
          <t>2.1 TAMHA Association &amp; League Fees</t>
        </is>
      </c>
      <c r="B26" s="11">
        <f>Expenses!E14</f>
        <v/>
      </c>
      <c r="C26" s="11">
        <f>Expenses!F14</f>
        <v/>
      </c>
      <c r="D26" s="11">
        <f>B26-C26</f>
        <v/>
      </c>
      <c r="E26" s="12">
        <f>IF(B26&gt;0, C26/B26, 0)</f>
        <v/>
      </c>
      <c r="F26" s="13">
        <f>IF(C26&lt;=B26,"On Budget","Over")</f>
        <v/>
      </c>
      <c r="G26" s="10" t="inlineStr">
        <is>
          <t>Rep fees ($7,700), sweater fund ($550)</t>
        </is>
      </c>
    </row>
    <row r="27">
      <c r="A27" s="10" t="inlineStr">
        <is>
          <t>2.2 Tournaments &amp; Jamborees Entry Fees</t>
        </is>
      </c>
      <c r="B27" s="11">
        <f>Expenses!E24</f>
        <v/>
      </c>
      <c r="C27" s="11">
        <f>Expenses!F24</f>
        <v/>
      </c>
      <c r="D27" s="11">
        <f>B27-C27</f>
        <v/>
      </c>
      <c r="E27" s="12">
        <f>IF(B27&gt;0, C27/B27, 0)</f>
        <v/>
      </c>
      <c r="F27" s="13">
        <f>IF(C27&lt;=B27,"On Budget","Over")</f>
        <v/>
      </c>
      <c r="G27" s="10" t="inlineStr">
        <is>
          <t>Tournament registrations</t>
        </is>
      </c>
    </row>
    <row r="28">
      <c r="A28" s="10" t="inlineStr">
        <is>
          <t>2.3 Extra Practice Ice &amp; Game Officials</t>
        </is>
      </c>
      <c r="B28" s="11">
        <f>Expenses!E33</f>
        <v/>
      </c>
      <c r="C28" s="11">
        <f>Expenses!F33</f>
        <v/>
      </c>
      <c r="D28" s="11">
        <f>B28-C28</f>
        <v/>
      </c>
      <c r="E28" s="12">
        <f>IF(B28&gt;0, C28/B28, 0)</f>
        <v/>
      </c>
      <c r="F28" s="13">
        <f>IF(C28&lt;=B28,"On Budget","Over")</f>
        <v/>
      </c>
      <c r="G28" s="10" t="inlineStr">
        <is>
          <t>Ice rental, ref &amp; timekeeper fees</t>
        </is>
      </c>
    </row>
    <row r="29">
      <c r="A29" s="10" t="inlineStr">
        <is>
          <t>2.4 Team Apparel, Items &amp; Equipment</t>
        </is>
      </c>
      <c r="B29" s="11">
        <f>Expenses!E43</f>
        <v/>
      </c>
      <c r="C29" s="11">
        <f>Expenses!F43</f>
        <v/>
      </c>
      <c r="D29" s="11">
        <f>B29-C29</f>
        <v/>
      </c>
      <c r="E29" s="12">
        <f>IF(B29&gt;0, C29/B29, 0)</f>
        <v/>
      </c>
      <c r="F29" s="13">
        <f>IF(C29&lt;=B29,"On Budget","Over")</f>
        <v/>
      </c>
      <c r="G29" s="10" t="inlineStr">
        <is>
          <t>Practice jerseys, banner, name bars, socks</t>
        </is>
      </c>
    </row>
    <row r="30">
      <c r="A30" s="10" t="inlineStr">
        <is>
          <t>2.5 Team Events &amp; Player Activities</t>
        </is>
      </c>
      <c r="B30" s="11">
        <f>Expenses!E52</f>
        <v/>
      </c>
      <c r="C30" s="11">
        <f>Expenses!F52</f>
        <v/>
      </c>
      <c r="D30" s="11">
        <f>B30-C30</f>
        <v/>
      </c>
      <c r="E30" s="12">
        <f>IF(B30&gt;0, C30/B30, 0)</f>
        <v/>
      </c>
      <c r="F30" s="13">
        <f>IF(C30&lt;=B30,"On Budget","Over")</f>
        <v/>
      </c>
      <c r="G30" s="10" t="inlineStr">
        <is>
          <t>Holiday party, year-end banquet, gifts</t>
        </is>
      </c>
    </row>
    <row r="31">
      <c r="A31" s="10" t="inlineStr">
        <is>
          <t>2.6 Operating Costs, Banking &amp; Contingency</t>
        </is>
      </c>
      <c r="B31" s="11">
        <f>Expenses!E60</f>
        <v/>
      </c>
      <c r="C31" s="11">
        <f>Expenses!F60</f>
        <v/>
      </c>
      <c r="D31" s="11">
        <f>B31-C31</f>
        <v/>
      </c>
      <c r="E31" s="12">
        <f>IF(B31&gt;0, C31/B31, 0)</f>
        <v/>
      </c>
      <c r="F31" s="13">
        <f>IF(C31&lt;=B31,"On Budget","Over")</f>
        <v/>
      </c>
      <c r="G31" s="10" t="inlineStr">
        <is>
          <t>Mosaik fees, cheques, contingency buffer</t>
        </is>
      </c>
    </row>
    <row r="32">
      <c r="A32" s="10" t="inlineStr">
        <is>
          <t>2.7 Return of Parent Jersey Deposits</t>
        </is>
      </c>
      <c r="B32" s="11">
        <f>Expenses!E66</f>
        <v/>
      </c>
      <c r="C32" s="11">
        <f>Expenses!F66</f>
        <v/>
      </c>
      <c r="D32" s="11">
        <f>B32-C32</f>
        <v/>
      </c>
      <c r="E32" s="12">
        <f>IF(B32&gt;0, C32/B32, 0)</f>
        <v/>
      </c>
      <c r="F32" s="13">
        <f>IF(C32&lt;=B32,"Pending EOY","Refunded")</f>
        <v/>
      </c>
      <c r="G32" s="10" t="inlineStr">
        <is>
          <t>Refunded to parents upon jersey return</t>
        </is>
      </c>
    </row>
    <row r="36">
      <c r="A36" s="14" t="inlineStr">
        <is>
          <t>TOTAL PROJECTED &amp; ACTUAL EXPENSES</t>
        </is>
      </c>
      <c r="B36" s="15">
        <f>SUM(B26:B32)</f>
        <v/>
      </c>
      <c r="C36" s="15">
        <f>SUM(C26:C32)</f>
        <v/>
      </c>
      <c r="D36" s="15">
        <f>B36-C36</f>
        <v/>
      </c>
      <c r="E36" s="16">
        <f>IF(B36&gt;0, C36/B36, 0)</f>
        <v/>
      </c>
      <c r="F36" s="17">
        <f>IF(D36&gt;=0,"UNDER BUDGET","OVER BUDGET")</f>
        <v/>
      </c>
      <c r="G36" s="14" t="inlineStr">
        <is>
          <t>Rolls up all 7 expense categories</t>
        </is>
      </c>
    </row>
    <row r="38">
      <c r="A38" s="18" t="inlineStr">
        <is>
          <t>3.0 NET POSITION &amp; PER-PLAYER BREAKDOWN</t>
        </is>
      </c>
    </row>
    <row r="39">
      <c r="A39" s="19" t="inlineStr">
        <is>
          <t>Net Team Cash Position (Revenue - Expenses)</t>
        </is>
      </c>
      <c r="B39" s="20">
        <f>B21-B36</f>
        <v/>
      </c>
      <c r="C39" s="20">
        <f>C21-C36</f>
        <v/>
      </c>
      <c r="D39" s="20">
        <f>C39-B39</f>
        <v/>
      </c>
      <c r="E39" s="19" t="inlineStr"/>
      <c r="F39" s="21">
        <f>IF(B39&gt;=0,"BALANCED / SURPLUS","DEFICIT")</f>
        <v/>
      </c>
      <c r="G39" s="19" t="inlineStr">
        <is>
          <t>Target is balanced ($0.00)</t>
        </is>
      </c>
    </row>
    <row r="40">
      <c r="A40" s="10" t="inlineStr">
        <is>
          <t>Gross Team Operating Cost Per Player</t>
        </is>
      </c>
      <c r="B40" s="11">
        <f>B36/$G$4</f>
        <v/>
      </c>
      <c r="C40" s="11">
        <f>C36/$G$4</f>
        <v/>
      </c>
      <c r="D40" s="11">
        <f>B40-C40</f>
        <v/>
      </c>
      <c r="E40" s="10" t="inlineStr"/>
      <c r="F40" s="13" t="inlineStr"/>
      <c r="G40" s="10" t="inlineStr">
        <is>
          <t>Total team cost divided by roster count</t>
        </is>
      </c>
    </row>
    <row r="41">
      <c r="A41" s="10" t="inlineStr">
        <is>
          <t>Team Fundraising &amp; Sponsorship Raised Per Player</t>
        </is>
      </c>
      <c r="B41" s="11">
        <f>(B14+B15)/$G$4</f>
        <v/>
      </c>
      <c r="C41" s="11">
        <f>(C14+C15)/$G$4</f>
        <v/>
      </c>
      <c r="D41" s="11">
        <f>C41-B41</f>
        <v/>
      </c>
      <c r="E41" s="10" t="inlineStr"/>
      <c r="F41" s="13" t="inlineStr"/>
      <c r="G41" s="10" t="inlineStr">
        <is>
          <t>Subsidized through team sponsors &amp; events</t>
        </is>
      </c>
    </row>
    <row r="42">
      <c r="A42" s="22" t="inlineStr">
        <is>
          <t>Net Parent Out-of-Pocket Cost Per Player</t>
        </is>
      </c>
      <c r="B42" s="23">
        <f>B16/$G$4</f>
        <v/>
      </c>
      <c r="C42" s="23">
        <f>C16/$G$4</f>
        <v/>
      </c>
      <c r="D42" s="23">
        <f>B42-C42</f>
        <v/>
      </c>
      <c r="E42" s="22" t="inlineStr"/>
      <c r="F42" s="24" t="inlineStr"/>
      <c r="G42" s="22" t="inlineStr">
        <is>
          <t>Actual parent fee required per family</t>
        </is>
      </c>
    </row>
    <row r="45">
      <c r="A45" s="18" t="inlineStr">
        <is>
          <t>4.0 EXECUTIVE GOVERNANCE &amp; SUBMISSION CHECKLIST</t>
        </is>
      </c>
    </row>
    <row r="46">
      <c r="A46" s="25" t="inlineStr">
        <is>
          <t>Milestone 1: Preliminary Budget presented to Parents &amp; approved (&gt;75% majority vote)</t>
        </is>
      </c>
      <c r="E46" s="24" t="inlineStr">
        <is>
          <t>October 30, 2026</t>
        </is>
      </c>
      <c r="F46" s="13" t="inlineStr">
        <is>
          <t>Manager &amp; Treasurer</t>
        </is>
      </c>
      <c r="G46" s="24" t="inlineStr">
        <is>
          <t>Approved</t>
        </is>
      </c>
    </row>
    <row r="47">
      <c r="A47" s="25" t="inlineStr">
        <is>
          <t>Milestone 2: Preliminary Budget submitted to VP Finance (vpfinance@trurominorhockey.ca)</t>
        </is>
      </c>
      <c r="E47" s="24" t="inlineStr">
        <is>
          <t>October 30, 2026</t>
        </is>
      </c>
      <c r="F47" s="13" t="inlineStr">
        <is>
          <t>VP Finance (Joe Zappia)</t>
        </is>
      </c>
      <c r="G47" s="24" t="inlineStr">
        <is>
          <t>Submitted</t>
        </is>
      </c>
    </row>
    <row r="48">
      <c r="A48" s="25" t="inlineStr">
        <is>
          <t>Milestone 3: Mid-Season Financial Statement shared with Parent Group</t>
        </is>
      </c>
      <c r="E48" s="24" t="inlineStr">
        <is>
          <t>December 31, 2026</t>
        </is>
      </c>
      <c r="F48" s="13" t="inlineStr">
        <is>
          <t>Parent Group</t>
        </is>
      </c>
      <c r="G48" s="24" t="inlineStr">
        <is>
          <t>Scheduled</t>
        </is>
      </c>
    </row>
    <row r="49">
      <c r="A49" s="25" t="inlineStr">
        <is>
          <t>Milestone 4: Interim Financial Statement submitted to VP Finance</t>
        </is>
      </c>
      <c r="E49" s="24" t="inlineStr">
        <is>
          <t>January 15, 2027</t>
        </is>
      </c>
      <c r="F49" s="13" t="inlineStr">
        <is>
          <t>VP Finance (Joe Zappia)</t>
        </is>
      </c>
      <c r="G49" s="24" t="inlineStr">
        <is>
          <t>Scheduled</t>
        </is>
      </c>
    </row>
    <row r="50">
      <c r="A50" s="25" t="inlineStr">
        <is>
          <t>Milestone 5: Final Year-End Budget &amp; Reconciliation submitted to VP Finance</t>
        </is>
      </c>
      <c r="E50" s="24" t="inlineStr">
        <is>
          <t>March 31, 2027</t>
        </is>
      </c>
      <c r="F50" s="13" t="inlineStr">
        <is>
          <t>VP Finance (Joe Zappia)</t>
        </is>
      </c>
      <c r="G50" s="24" t="inlineStr">
        <is>
          <t>Scheduled</t>
        </is>
      </c>
    </row>
    <row r="51">
      <c r="A51" s="25" t="inlineStr">
        <is>
          <t>Milestone 6: Final Financial Statement &amp; Jersey Deposit refunds distributed to Parents</t>
        </is>
      </c>
      <c r="E51" s="24" t="inlineStr">
        <is>
          <t>April 15, 2027</t>
        </is>
      </c>
      <c r="F51" s="13" t="inlineStr">
        <is>
          <t>Parent Group</t>
        </is>
      </c>
      <c r="G51" s="24" t="inlineStr">
        <is>
          <t>Scheduled</t>
        </is>
      </c>
    </row>
  </sheetData>
  <mergeCells count="6">
    <mergeCell ref="A1:G1"/>
    <mergeCell ref="A12:G12"/>
    <mergeCell ref="A38:G38"/>
    <mergeCell ref="A24:G24"/>
    <mergeCell ref="A2:G2"/>
    <mergeCell ref="A45:G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18" customWidth="1" min="4" max="4"/>
    <col width="18" customWidth="1" min="5" max="5"/>
    <col width="18" customWidth="1" min="6" max="6"/>
    <col width="34" customWidth="1" min="7" max="7"/>
  </cols>
  <sheetData>
    <row r="1">
      <c r="A1" s="1" t="inlineStr">
        <is>
          <t>TAMHA TEAM REVENUE &amp; INCOME TRACKER</t>
        </is>
      </c>
    </row>
    <row r="2">
      <c r="A2" s="2" t="inlineStr">
        <is>
          <t>Detail Ledger: Sponsorships, Fundraising, Parent Contributions &amp; Jersey Deposits</t>
        </is>
      </c>
    </row>
    <row r="4">
      <c r="A4" s="18" t="inlineStr">
        <is>
          <t>1.0 SPONSORSHIPS &amp; LOCAL BUSINESS ADVERTISING</t>
        </is>
      </c>
    </row>
    <row r="5">
      <c r="A5" s="7" t="inlineStr">
        <is>
          <t>Sponsor / Business Name</t>
        </is>
      </c>
      <c r="B5" s="9" t="inlineStr">
        <is>
          <t>Sponsorship Level</t>
        </is>
      </c>
      <c r="C5" s="7" t="inlineStr">
        <is>
          <t>Contact Person</t>
        </is>
      </c>
      <c r="D5" s="9" t="inlineStr">
        <is>
          <t>Payment Method</t>
        </is>
      </c>
      <c r="E5" s="8" t="inlineStr">
        <is>
          <t>Projected ($)</t>
        </is>
      </c>
      <c r="F5" s="8" t="inlineStr">
        <is>
          <t>Actual Received ($)</t>
        </is>
      </c>
      <c r="G5" s="9" t="inlineStr">
        <is>
          <t>Receipt Issued?</t>
        </is>
      </c>
    </row>
    <row r="6">
      <c r="A6" s="10" t="inlineStr">
        <is>
          <t>Major Corporate Sponsor (e.g. Jersey / Gold)</t>
        </is>
      </c>
      <c r="B6" s="13" t="inlineStr">
        <is>
          <t>Major ($1,000+)</t>
        </is>
      </c>
      <c r="C6" s="10" t="inlineStr">
        <is>
          <t>Local Business Owner</t>
        </is>
      </c>
      <c r="D6" s="13" t="inlineStr">
        <is>
          <t>E-transfer</t>
        </is>
      </c>
      <c r="E6" s="11" t="n">
        <v>1000</v>
      </c>
      <c r="F6" s="11" t="n">
        <v>1000</v>
      </c>
      <c r="G6" s="13" t="inlineStr">
        <is>
          <t>Yes</t>
        </is>
      </c>
    </row>
    <row r="7">
      <c r="A7" s="10" t="inlineStr">
        <is>
          <t>Banner Sponsor 1 (Gold)</t>
        </is>
      </c>
      <c r="B7" s="13" t="inlineStr">
        <is>
          <t>Gold ($500)</t>
        </is>
      </c>
      <c r="C7" s="10" t="inlineStr">
        <is>
          <t>Business Contact</t>
        </is>
      </c>
      <c r="D7" s="13" t="inlineStr">
        <is>
          <t>Cheque</t>
        </is>
      </c>
      <c r="E7" s="11" t="n">
        <v>500</v>
      </c>
      <c r="F7" s="11" t="n">
        <v>500</v>
      </c>
      <c r="G7" s="13" t="inlineStr">
        <is>
          <t>Yes</t>
        </is>
      </c>
    </row>
    <row r="8">
      <c r="A8" s="10" t="inlineStr">
        <is>
          <t>Banner Sponsor 2 (Gold)</t>
        </is>
      </c>
      <c r="B8" s="13" t="inlineStr">
        <is>
          <t>Gold ($500)</t>
        </is>
      </c>
      <c r="C8" s="10" t="inlineStr">
        <is>
          <t>Business Contact</t>
        </is>
      </c>
      <c r="D8" s="13" t="inlineStr">
        <is>
          <t>Cheque</t>
        </is>
      </c>
      <c r="E8" s="11" t="n">
        <v>500</v>
      </c>
      <c r="F8" s="11" t="n">
        <v>500</v>
      </c>
      <c r="G8" s="13" t="inlineStr">
        <is>
          <t>Yes</t>
        </is>
      </c>
    </row>
    <row r="9">
      <c r="A9" s="10" t="inlineStr">
        <is>
          <t>Banner Sponsor 3 (Silver)</t>
        </is>
      </c>
      <c r="B9" s="13" t="inlineStr">
        <is>
          <t>Silver ($250)</t>
        </is>
      </c>
      <c r="C9" s="10" t="inlineStr">
        <is>
          <t>Business Contact</t>
        </is>
      </c>
      <c r="D9" s="13" t="inlineStr">
        <is>
          <t>Cheque</t>
        </is>
      </c>
      <c r="E9" s="11" t="n">
        <v>250</v>
      </c>
      <c r="F9" s="11" t="n">
        <v>250</v>
      </c>
      <c r="G9" s="13" t="inlineStr">
        <is>
          <t>Yes</t>
        </is>
      </c>
    </row>
    <row r="10">
      <c r="A10" s="10" t="inlineStr">
        <is>
          <t>Banner Sponsor 4 (Silver)</t>
        </is>
      </c>
      <c r="B10" s="13" t="inlineStr">
        <is>
          <t>Silver ($250)</t>
        </is>
      </c>
      <c r="C10" s="10" t="inlineStr">
        <is>
          <t>Business Contact</t>
        </is>
      </c>
      <c r="D10" s="13" t="inlineStr">
        <is>
          <t>E-transfer</t>
        </is>
      </c>
      <c r="E10" s="11" t="n">
        <v>250</v>
      </c>
      <c r="F10" s="11" t="n">
        <v>250</v>
      </c>
      <c r="G10" s="13" t="inlineStr">
        <is>
          <t>Yes</t>
        </is>
      </c>
    </row>
    <row r="11">
      <c r="A11" s="10" t="inlineStr">
        <is>
          <t>Banner Sponsor 5 (Silver)</t>
        </is>
      </c>
      <c r="B11" s="13" t="inlineStr">
        <is>
          <t>Silver ($250)</t>
        </is>
      </c>
      <c r="C11" s="10" t="inlineStr">
        <is>
          <t>Business Contact</t>
        </is>
      </c>
      <c r="D11" s="13" t="inlineStr">
        <is>
          <t>Cheque</t>
        </is>
      </c>
      <c r="E11" s="11" t="n">
        <v>250</v>
      </c>
      <c r="F11" s="11" t="n">
        <v>250</v>
      </c>
      <c r="G11" s="13" t="inlineStr">
        <is>
          <t>Yes</t>
        </is>
      </c>
    </row>
    <row r="12">
      <c r="A12" s="10" t="inlineStr">
        <is>
          <t>Banner Sponsor 6 (Bronze)</t>
        </is>
      </c>
      <c r="B12" s="13" t="inlineStr">
        <is>
          <t>Bronze ($100)</t>
        </is>
      </c>
      <c r="C12" s="10" t="inlineStr">
        <is>
          <t>Business Contact</t>
        </is>
      </c>
      <c r="D12" s="13" t="inlineStr">
        <is>
          <t>Cash</t>
        </is>
      </c>
      <c r="E12" s="11" t="n">
        <v>100</v>
      </c>
      <c r="F12" s="11" t="n">
        <v>100</v>
      </c>
      <c r="G12" s="13" t="inlineStr">
        <is>
          <t>Yes</t>
        </is>
      </c>
    </row>
    <row r="13">
      <c r="A13" s="10" t="inlineStr">
        <is>
          <t>Banner Sponsor 7 (Bronze)</t>
        </is>
      </c>
      <c r="B13" s="13" t="inlineStr">
        <is>
          <t>Bronze ($100)</t>
        </is>
      </c>
      <c r="C13" s="10" t="inlineStr">
        <is>
          <t>Business Contact</t>
        </is>
      </c>
      <c r="D13" s="13" t="inlineStr">
        <is>
          <t>E-transfer</t>
        </is>
      </c>
      <c r="E13" s="11" t="n">
        <v>100</v>
      </c>
      <c r="F13" s="11" t="n">
        <v>100</v>
      </c>
      <c r="G13" s="13" t="inlineStr">
        <is>
          <t>Yes</t>
        </is>
      </c>
    </row>
    <row r="14">
      <c r="A14" s="14" t="inlineStr">
        <is>
          <t>SUBTOTAL: SPONSORSHIPS</t>
        </is>
      </c>
      <c r="B14" s="14" t="n"/>
      <c r="C14" s="14" t="n"/>
      <c r="D14" s="14" t="n"/>
      <c r="E14" s="15">
        <f>SUM(E6:E13)</f>
        <v/>
      </c>
      <c r="F14" s="15">
        <f>SUM(F6:F13)</f>
        <v/>
      </c>
      <c r="G14" s="14" t="n"/>
    </row>
    <row r="16">
      <c r="A16" s="18" t="inlineStr">
        <is>
          <t>2.0 TEAM FUNDRAISING INITIATIVES</t>
        </is>
      </c>
    </row>
    <row r="17">
      <c r="A17" s="7" t="inlineStr">
        <is>
          <t>Fundraiser Name / Description</t>
        </is>
      </c>
      <c r="B17" s="9" t="inlineStr">
        <is>
          <t>Event Date</t>
        </is>
      </c>
      <c r="C17" s="9" t="inlineStr">
        <is>
          <t>Lead Coordinator</t>
        </is>
      </c>
      <c r="D17" s="8" t="inlineStr">
        <is>
          <t>Projected ($)</t>
        </is>
      </c>
      <c r="E17" s="8" t="inlineStr">
        <is>
          <t>Actual Net ($)</t>
        </is>
      </c>
      <c r="F17" s="8" t="inlineStr">
        <is>
          <t>Variance ($)</t>
        </is>
      </c>
      <c r="G17" s="7" t="inlineStr">
        <is>
          <t>Status / Notes</t>
        </is>
      </c>
    </row>
    <row r="18">
      <c r="A18" s="10" t="inlineStr">
        <is>
          <t>Team Bottle Drive (Fall)</t>
        </is>
      </c>
      <c r="B18" s="13" t="inlineStr">
        <is>
          <t>Oct 19, 2026</t>
        </is>
      </c>
      <c r="C18" s="13" t="inlineStr">
        <is>
          <t>Parent Volunteer</t>
        </is>
      </c>
      <c r="D18" s="11" t="n">
        <v>1200</v>
      </c>
      <c r="E18" s="11" t="n">
        <v>1368</v>
      </c>
      <c r="F18" s="11">
        <f>E18-D18</f>
        <v/>
      </c>
      <c r="G18" s="10" t="inlineStr">
        <is>
          <t>Completed - Deposited</t>
        </is>
      </c>
    </row>
    <row r="19">
      <c r="A19" s="10" t="inlineStr">
        <is>
          <t>Pot O' Gold 50/50 Raffle</t>
        </is>
      </c>
      <c r="B19" s="13" t="inlineStr">
        <is>
          <t>Nov 15, 2026</t>
        </is>
      </c>
      <c r="C19" s="13" t="inlineStr">
        <is>
          <t>Treasurer</t>
        </is>
      </c>
      <c r="D19" s="11" t="n">
        <v>2000</v>
      </c>
      <c r="E19" s="11" t="n">
        <v>1160</v>
      </c>
      <c r="F19" s="11">
        <f>E19-D19</f>
        <v/>
      </c>
      <c r="G19" s="10" t="inlineStr">
        <is>
          <t>Completed - Net after prize</t>
        </is>
      </c>
    </row>
    <row r="20">
      <c r="A20" s="10" t="inlineStr">
        <is>
          <t>Grand In Your Hand / Cash Draw</t>
        </is>
      </c>
      <c r="B20" s="13" t="inlineStr">
        <is>
          <t>Dec 10, 2026</t>
        </is>
      </c>
      <c r="C20" s="13" t="inlineStr">
        <is>
          <t>Team Manager</t>
        </is>
      </c>
      <c r="D20" s="11" t="n">
        <v>1000</v>
      </c>
      <c r="E20" s="11" t="n">
        <v>1000</v>
      </c>
      <c r="F20" s="11">
        <f>E20-D20</f>
        <v/>
      </c>
      <c r="G20" s="10" t="inlineStr">
        <is>
          <t>Completed</t>
        </is>
      </c>
    </row>
    <row r="21">
      <c r="A21" s="10" t="inlineStr">
        <is>
          <t>Super Bowl Square Board / Silent Auction</t>
        </is>
      </c>
      <c r="B21" s="13" t="inlineStr">
        <is>
          <t>Feb 7, 2027</t>
        </is>
      </c>
      <c r="C21" s="13" t="inlineStr">
        <is>
          <t>Parent Committee</t>
        </is>
      </c>
      <c r="D21" s="11" t="n">
        <v>800</v>
      </c>
      <c r="E21" s="11" t="n">
        <v>0</v>
      </c>
      <c r="F21" s="11">
        <f>E21-D21</f>
        <v/>
      </c>
      <c r="G21" s="10" t="inlineStr">
        <is>
          <t>Planned for Winter</t>
        </is>
      </c>
    </row>
    <row r="22">
      <c r="A22" s="10" t="inlineStr">
        <is>
          <t>Optional Team Fundraiser 5</t>
        </is>
      </c>
      <c r="B22" s="13" t="inlineStr">
        <is>
          <t>TBD</t>
        </is>
      </c>
      <c r="C22" s="13" t="inlineStr">
        <is>
          <t>Volunteer</t>
        </is>
      </c>
      <c r="D22" s="11" t="n">
        <v>0</v>
      </c>
      <c r="E22" s="11" t="n">
        <v>0</v>
      </c>
      <c r="F22" s="11">
        <f>E22-D22</f>
        <v/>
      </c>
      <c r="G22" s="10" t="inlineStr">
        <is>
          <t>Contingency</t>
        </is>
      </c>
    </row>
    <row r="23">
      <c r="A23" s="14" t="inlineStr">
        <is>
          <t>SUBTOTAL: FUNDRAISING</t>
        </is>
      </c>
      <c r="B23" s="14" t="n"/>
      <c r="C23" s="14" t="n"/>
      <c r="D23" s="15">
        <f>SUM(D18:D22)</f>
        <v/>
      </c>
      <c r="E23" s="15">
        <f>SUM(E18:E22)</f>
        <v/>
      </c>
      <c r="F23" s="15">
        <f>E23-D23</f>
        <v/>
      </c>
      <c r="G23" s="14" t="n"/>
    </row>
    <row r="25">
      <c r="A25" s="18" t="inlineStr">
        <is>
          <t>3.0 PARENT CONTRIBUTIONS &amp; TEAM FEES</t>
        </is>
      </c>
    </row>
    <row r="26">
      <c r="A26" s="7" t="inlineStr">
        <is>
          <t>Fee Description</t>
        </is>
      </c>
      <c r="B26" s="8" t="inlineStr">
        <is>
          <t>Per Player ($)</t>
        </is>
      </c>
      <c r="C26" s="9" t="inlineStr">
        <is>
          <t>Roster Size</t>
        </is>
      </c>
      <c r="D26" s="8" t="inlineStr">
        <is>
          <t>Projected Total ($)</t>
        </is>
      </c>
      <c r="E26" s="8" t="inlineStr">
        <is>
          <t>Actual Collected ($)</t>
        </is>
      </c>
      <c r="F26" s="8" t="inlineStr">
        <is>
          <t>Variance ($)</t>
        </is>
      </c>
      <c r="G26" s="9" t="inlineStr">
        <is>
          <t>Due Date / Installment</t>
        </is>
      </c>
    </row>
    <row r="27">
      <c r="A27" s="10" t="inlineStr">
        <is>
          <t>Rep Fee Contribution - Installment 1 (Nov)</t>
        </is>
      </c>
      <c r="B27" s="11" t="n">
        <v>226.47</v>
      </c>
      <c r="C27" s="13">
        <f>'Budget Summary'!$G$4</f>
        <v/>
      </c>
      <c r="D27" s="11">
        <f>B27*C27</f>
        <v/>
      </c>
      <c r="E27" s="11" t="n">
        <v>3850</v>
      </c>
      <c r="F27" s="11">
        <f>E27-D27</f>
        <v/>
      </c>
      <c r="G27" s="10" t="inlineStr">
        <is>
          <t>November 15, 2026</t>
        </is>
      </c>
    </row>
    <row r="28">
      <c r="A28" s="10" t="inlineStr">
        <is>
          <t>Rep Fee Contribution - Installment 2 (Jan)</t>
        </is>
      </c>
      <c r="B28" s="11" t="n">
        <v>226.47</v>
      </c>
      <c r="C28" s="13">
        <f>'Budget Summary'!$G$4</f>
        <v/>
      </c>
      <c r="D28" s="11">
        <f>B28*C28</f>
        <v/>
      </c>
      <c r="E28" s="11" t="n">
        <v>3850</v>
      </c>
      <c r="F28" s="11">
        <f>E28-D28</f>
        <v/>
      </c>
      <c r="G28" s="10" t="inlineStr">
        <is>
          <t>January 31, 2027</t>
        </is>
      </c>
    </row>
    <row r="29">
      <c r="A29" s="10" t="inlineStr">
        <is>
          <t>Team Operational Cash Call (Apparel / Extras)</t>
        </is>
      </c>
      <c r="B29" s="11" t="n">
        <v>100</v>
      </c>
      <c r="C29" s="13">
        <f>'Budget Summary'!$G$4</f>
        <v/>
      </c>
      <c r="D29" s="11">
        <f>B29*C29</f>
        <v/>
      </c>
      <c r="E29" s="11" t="n">
        <v>1700</v>
      </c>
      <c r="F29" s="11">
        <f>E29-D29</f>
        <v/>
      </c>
      <c r="G29" s="10" t="inlineStr">
        <is>
          <t>December 1, 2026</t>
        </is>
      </c>
    </row>
    <row r="30">
      <c r="A30" s="10" t="inlineStr">
        <is>
          <t>Optional Tournament / Extra Ice Cash Call</t>
        </is>
      </c>
      <c r="B30" s="11" t="n">
        <v>0</v>
      </c>
      <c r="C30" s="13">
        <f>'Budget Summary'!$G$4</f>
        <v/>
      </c>
      <c r="D30" s="11">
        <f>B30*C30</f>
        <v/>
      </c>
      <c r="E30" s="11" t="n">
        <v>0</v>
      </c>
      <c r="F30" s="11">
        <f>E30-D30</f>
        <v/>
      </c>
      <c r="G30" s="10" t="inlineStr">
        <is>
          <t>As needed</t>
        </is>
      </c>
    </row>
    <row r="33">
      <c r="A33" s="14" t="inlineStr">
        <is>
          <t>SUBTOTAL: PARENT CONTRIBUTIONS</t>
        </is>
      </c>
      <c r="B33" s="14" t="n"/>
      <c r="C33" s="14" t="n"/>
      <c r="D33" s="15">
        <f>SUM(D27:D30)</f>
        <v/>
      </c>
      <c r="E33" s="15">
        <f>SUM(E27:E30)</f>
        <v/>
      </c>
      <c r="F33" s="15">
        <f>E33-D33</f>
        <v/>
      </c>
      <c r="G33" s="14" t="n"/>
    </row>
    <row r="35">
      <c r="A35" s="18" t="inlineStr">
        <is>
          <t>4.0 PARENT JERSEY DEPOSITS (HELD IN TRUST)</t>
        </is>
      </c>
    </row>
    <row r="36">
      <c r="A36" s="7" t="inlineStr">
        <is>
          <t>Deposit Type</t>
        </is>
      </c>
      <c r="B36" s="8" t="inlineStr">
        <is>
          <t>Deposit / Player</t>
        </is>
      </c>
      <c r="C36" s="9" t="inlineStr">
        <is>
          <t>Roster Size</t>
        </is>
      </c>
      <c r="D36" s="8" t="inlineStr">
        <is>
          <t>Projected Total ($)</t>
        </is>
      </c>
      <c r="E36" s="8" t="inlineStr">
        <is>
          <t>Actual Collected ($)</t>
        </is>
      </c>
      <c r="F36" s="9" t="inlineStr">
        <is>
          <t>Method</t>
        </is>
      </c>
      <c r="G36" s="7" t="inlineStr">
        <is>
          <t>Policy Rule</t>
        </is>
      </c>
    </row>
    <row r="37">
      <c r="A37" s="10" t="inlineStr">
        <is>
          <t>Rep Team Jersey Deposit ($150 / player)</t>
        </is>
      </c>
      <c r="B37" s="11" t="n">
        <v>150</v>
      </c>
      <c r="C37" s="13">
        <f>'Budget Summary'!$G$4</f>
        <v/>
      </c>
      <c r="D37" s="11">
        <f>B37*C37</f>
        <v/>
      </c>
      <c r="E37" s="11" t="n">
        <v>2550</v>
      </c>
      <c r="F37" s="10" t="inlineStr">
        <is>
          <t>Post-dated cheque / E-transfer</t>
        </is>
      </c>
      <c r="G37" s="10" t="inlineStr">
        <is>
          <t>Mandatory $150 Rep / $50 House</t>
        </is>
      </c>
    </row>
    <row r="38">
      <c r="A38" s="10" t="inlineStr">
        <is>
          <t>Uncashed Cheques Held in Safe Keeping</t>
        </is>
      </c>
      <c r="B38" s="11" t="n">
        <v>0</v>
      </c>
      <c r="C38" s="13">
        <f>'Budget Summary'!$G$4</f>
        <v/>
      </c>
      <c r="D38" s="11" t="n">
        <v>0</v>
      </c>
      <c r="E38" s="11" t="n">
        <v>0</v>
      </c>
      <c r="F38" s="10" t="inlineStr">
        <is>
          <t>Cheques dated May 15, 2027</t>
        </is>
      </c>
      <c r="G38" s="10" t="inlineStr">
        <is>
          <t>Returned or destroyed upon jersey return</t>
        </is>
      </c>
    </row>
    <row r="41">
      <c r="A41" s="14" t="inlineStr">
        <is>
          <t>SUBTOTAL: JERSEY DEPOSITS HELD</t>
        </is>
      </c>
      <c r="B41" s="14" t="n"/>
      <c r="C41" s="14" t="n"/>
      <c r="D41" s="15">
        <f>D37+D38</f>
        <v/>
      </c>
      <c r="E41" s="15">
        <f>E37+E38</f>
        <v/>
      </c>
      <c r="F41" s="15">
        <f>E41-D41</f>
        <v/>
      </c>
      <c r="G41" s="14" t="n"/>
    </row>
    <row r="43">
      <c r="A43" s="18" t="inlineStr">
        <is>
          <t>5.0 BANK INTEREST &amp; MISCELLANEOUS REVENUE</t>
        </is>
      </c>
    </row>
    <row r="44">
      <c r="A44" s="25" t="inlineStr">
        <is>
          <t>Mosaik Credit Union Account Interest</t>
        </is>
      </c>
      <c r="D44" s="26" t="n">
        <v>0</v>
      </c>
      <c r="E44" s="26" t="n">
        <v>0</v>
      </c>
      <c r="G44" s="27" t="inlineStr">
        <is>
          <t>Credit Union operating account interest</t>
        </is>
      </c>
    </row>
    <row r="47">
      <c r="A47" s="14" t="inlineStr">
        <is>
          <t>SUBTOTAL: MISCELLANEOUS REVENUE</t>
        </is>
      </c>
      <c r="B47" s="14" t="n"/>
      <c r="C47" s="14" t="n"/>
      <c r="D47" s="15">
        <f>D44</f>
        <v/>
      </c>
      <c r="E47" s="15">
        <f>E44</f>
        <v/>
      </c>
      <c r="F47" s="15">
        <f>E47-D47</f>
        <v/>
      </c>
      <c r="G47" s="14" t="n"/>
    </row>
    <row r="49">
      <c r="A49" s="28" t="inlineStr">
        <is>
          <t>TOTAL TEAM REVENUE (ALL 5 CATEGORIES)</t>
        </is>
      </c>
      <c r="B49" s="28" t="n"/>
      <c r="C49" s="28" t="n"/>
      <c r="D49" s="29">
        <f>E14+D23+D33+D41+D47</f>
        <v/>
      </c>
      <c r="E49" s="29">
        <f>F14+E23+E33+E41+E47</f>
        <v/>
      </c>
      <c r="F49" s="29">
        <f>E49-D49</f>
        <v/>
      </c>
      <c r="G49" s="28">
        <f>IF(F49&gt;=0,"Surplus / Target Met","Deficit")</f>
        <v/>
      </c>
    </row>
  </sheetData>
  <mergeCells count="8">
    <mergeCell ref="A1:G1"/>
    <mergeCell ref="A49:C49"/>
    <mergeCell ref="A35:G35"/>
    <mergeCell ref="A4:G4"/>
    <mergeCell ref="A16:G16"/>
    <mergeCell ref="A2:G2"/>
    <mergeCell ref="A25:G25"/>
    <mergeCell ref="A43: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22" customWidth="1" min="4" max="4"/>
    <col width="18" customWidth="1" min="5" max="5"/>
    <col width="18" customWidth="1" min="6" max="6"/>
    <col width="34" customWidth="1" min="7" max="7"/>
  </cols>
  <sheetData>
    <row r="1">
      <c r="A1" s="1" t="inlineStr">
        <is>
          <t>TAMHA TEAM EXPENSE &amp; OPERATING COST LEDGER</t>
        </is>
      </c>
    </row>
    <row r="2">
      <c r="A2" s="2" t="inlineStr">
        <is>
          <t>Detail Ledger: Association Fees, Tournaments, Ice/Officials, Apparel, Activities &amp; Banking</t>
        </is>
      </c>
    </row>
    <row r="4">
      <c r="A4" s="18" t="inlineStr">
        <is>
          <t>1.0 TAMHA ASSOCIATION &amp; LEAGUE FEES</t>
        </is>
      </c>
    </row>
    <row r="5">
      <c r="A5" s="7" t="inlineStr">
        <is>
          <t>Fee Description</t>
        </is>
      </c>
      <c r="B5" s="9" t="inlineStr">
        <is>
          <t>Payment Due Date</t>
        </is>
      </c>
      <c r="C5" s="9" t="inlineStr">
        <is>
          <t>Payment Method</t>
        </is>
      </c>
      <c r="D5" s="9" t="inlineStr">
        <is>
          <t>Category</t>
        </is>
      </c>
      <c r="E5" s="8" t="inlineStr">
        <is>
          <t>Projected ($)</t>
        </is>
      </c>
      <c r="F5" s="8" t="inlineStr">
        <is>
          <t>Actual Paid ($)</t>
        </is>
      </c>
      <c r="G5" s="7" t="inlineStr">
        <is>
          <t>Notes / Invoices</t>
        </is>
      </c>
    </row>
    <row r="6">
      <c r="A6" s="10" t="inlineStr">
        <is>
          <t>TAMHA Rep Fees - Installment 1 (50%)</t>
        </is>
      </c>
      <c r="B6" s="13" t="inlineStr">
        <is>
          <t>Nov 15, 2026</t>
        </is>
      </c>
      <c r="C6" s="13" t="inlineStr">
        <is>
          <t>Cheque / E-transfer</t>
        </is>
      </c>
      <c r="D6" s="13" t="inlineStr">
        <is>
          <t>Mandatory</t>
        </is>
      </c>
      <c r="E6" s="11" t="n">
        <v>3850</v>
      </c>
      <c r="F6" s="11" t="n">
        <v>3850</v>
      </c>
      <c r="G6" s="10" t="inlineStr">
        <is>
          <t>Official association invoice</t>
        </is>
      </c>
    </row>
    <row r="7">
      <c r="A7" s="10" t="inlineStr">
        <is>
          <t>TAMHA Rep Fees - Installment 2 (50%)</t>
        </is>
      </c>
      <c r="B7" s="13" t="inlineStr">
        <is>
          <t>Jan 31, 2027</t>
        </is>
      </c>
      <c r="C7" s="13" t="inlineStr">
        <is>
          <t>Cheque / E-transfer</t>
        </is>
      </c>
      <c r="D7" s="13" t="inlineStr">
        <is>
          <t>Mandatory</t>
        </is>
      </c>
      <c r="E7" s="11" t="n">
        <v>3850</v>
      </c>
      <c r="F7" s="11" t="n">
        <v>3850</v>
      </c>
      <c r="G7" s="10" t="inlineStr">
        <is>
          <t>Official association invoice</t>
        </is>
      </c>
    </row>
    <row r="8">
      <c r="A8" s="10" t="inlineStr">
        <is>
          <t>TAMHA Mandatory Sweater / Jersey Fund</t>
        </is>
      </c>
      <c r="B8" s="13" t="inlineStr">
        <is>
          <t>Nov 15, 2026</t>
        </is>
      </c>
      <c r="C8" s="13" t="inlineStr">
        <is>
          <t>Cheque</t>
        </is>
      </c>
      <c r="D8" s="13" t="inlineStr">
        <is>
          <t>Mandatory</t>
        </is>
      </c>
      <c r="E8" s="11" t="n">
        <v>550</v>
      </c>
      <c r="F8" s="11" t="n">
        <v>550</v>
      </c>
      <c r="G8" s="10" t="inlineStr">
        <is>
          <t>$550 mandatory contribution per team</t>
        </is>
      </c>
    </row>
    <row r="9">
      <c r="A9" s="10" t="inlineStr">
        <is>
          <t>HNS / Conference League Scheduling Fees</t>
        </is>
      </c>
      <c r="B9" s="13" t="inlineStr">
        <is>
          <t>Nov 1, 2026</t>
        </is>
      </c>
      <c r="C9" s="13" t="inlineStr">
        <is>
          <t>E-transfer</t>
        </is>
      </c>
      <c r="D9" s="13" t="inlineStr">
        <is>
          <t>If applicable</t>
        </is>
      </c>
      <c r="E9" s="11" t="n">
        <v>175</v>
      </c>
      <c r="F9" s="11" t="n">
        <v>0</v>
      </c>
      <c r="G9" s="10" t="inlineStr">
        <is>
          <t>Covered or invoiced separately</t>
        </is>
      </c>
    </row>
    <row r="10">
      <c r="A10" s="10" t="inlineStr">
        <is>
          <t>League / Regional Playoff Assessment Fees</t>
        </is>
      </c>
      <c r="B10" s="13" t="inlineStr">
        <is>
          <t>Feb 15, 2027</t>
        </is>
      </c>
      <c r="C10" s="13" t="inlineStr">
        <is>
          <t>Cheque</t>
        </is>
      </c>
      <c r="D10" s="13" t="inlineStr">
        <is>
          <t>Estimated</t>
        </is>
      </c>
      <c r="E10" s="11" t="n">
        <v>1100</v>
      </c>
      <c r="F10" s="11" t="n">
        <v>1032.29</v>
      </c>
      <c r="G10" s="10" t="inlineStr">
        <is>
          <t>Playoff ice / officials assessment</t>
        </is>
      </c>
    </row>
    <row r="11">
      <c r="A11" s="14" t="inlineStr">
        <is>
          <t>SUBTOTAL: TAMHA &amp; LEAGUE FEES</t>
        </is>
      </c>
      <c r="B11" s="14" t="n"/>
      <c r="C11" s="14" t="n"/>
      <c r="D11" s="14" t="n"/>
      <c r="E11" s="15">
        <f>SUM(E6:E10)</f>
        <v/>
      </c>
      <c r="F11" s="15">
        <f>SUM(F6:F10)</f>
        <v/>
      </c>
      <c r="G11" s="15">
        <f>E11-F11</f>
        <v/>
      </c>
    </row>
    <row r="16">
      <c r="A16" s="18" t="inlineStr">
        <is>
          <t>2.0 TOURNAMENTS &amp; JAMBOREES</t>
        </is>
      </c>
    </row>
    <row r="17">
      <c r="A17" s="7" t="inlineStr">
        <is>
          <t>Tournament Name</t>
        </is>
      </c>
      <c r="B17" s="9" t="inlineStr">
        <is>
          <t>Tournament Dates</t>
        </is>
      </c>
      <c r="C17" s="9" t="inlineStr">
        <is>
          <t>Location</t>
        </is>
      </c>
      <c r="D17" s="9" t="inlineStr">
        <is>
          <t>Permit Status</t>
        </is>
      </c>
      <c r="E17" s="8" t="inlineStr">
        <is>
          <t>Projected ($)</t>
        </is>
      </c>
      <c r="F17" s="8" t="inlineStr">
        <is>
          <t>Actual Paid ($)</t>
        </is>
      </c>
      <c r="G17" s="7" t="inlineStr">
        <is>
          <t>Notes / Travel Permits</t>
        </is>
      </c>
    </row>
    <row r="18">
      <c r="A18" s="10" t="inlineStr">
        <is>
          <t>Tournament 1: Early Bird / Challenge Cup</t>
        </is>
      </c>
      <c r="B18" s="13" t="inlineStr">
        <is>
          <t>Nov 2026</t>
        </is>
      </c>
      <c r="C18" s="13" t="inlineStr">
        <is>
          <t>Amherst, NS</t>
        </is>
      </c>
      <c r="D18" s="13" t="inlineStr">
        <is>
          <t>Sanctioned</t>
        </is>
      </c>
      <c r="E18" s="11" t="n">
        <v>850</v>
      </c>
      <c r="F18" s="11" t="n">
        <v>850</v>
      </c>
      <c r="G18" s="10" t="inlineStr">
        <is>
          <t>Early season tournament</t>
        </is>
      </c>
    </row>
    <row r="19">
      <c r="A19" s="10" t="inlineStr">
        <is>
          <t>Tournament 2: Holiday / New Year Invitational</t>
        </is>
      </c>
      <c r="B19" s="13" t="inlineStr">
        <is>
          <t>Dec 2026</t>
        </is>
      </c>
      <c r="C19" s="13" t="inlineStr">
        <is>
          <t>Local / Regional</t>
        </is>
      </c>
      <c r="D19" s="13" t="inlineStr">
        <is>
          <t>Sanctioned</t>
        </is>
      </c>
      <c r="E19" s="11" t="n">
        <v>900</v>
      </c>
      <c r="F19" s="11" t="n">
        <v>867</v>
      </c>
      <c r="G19" s="10" t="inlineStr">
        <is>
          <t>Holiday event</t>
        </is>
      </c>
    </row>
    <row r="20">
      <c r="A20" s="10" t="inlineStr">
        <is>
          <t>Tournament 3: SEDMHA Tournament</t>
        </is>
      </c>
      <c r="B20" s="13" t="inlineStr">
        <is>
          <t>Mar 2027</t>
        </is>
      </c>
      <c r="C20" s="13" t="inlineStr">
        <is>
          <t>Halifax / Dartmouth</t>
        </is>
      </c>
      <c r="D20" s="13" t="inlineStr">
        <is>
          <t>Sanctioned</t>
        </is>
      </c>
      <c r="E20" s="11" t="n">
        <v>1325</v>
      </c>
      <c r="F20" s="11" t="n">
        <v>1325</v>
      </c>
      <c r="G20" s="10" t="inlineStr">
        <is>
          <t>Major spring tournament</t>
        </is>
      </c>
    </row>
    <row r="21">
      <c r="A21" s="10" t="inlineStr">
        <is>
          <t>Tournament 4: Away / Friendship Tournament</t>
        </is>
      </c>
      <c r="B21" s="13" t="inlineStr">
        <is>
          <t>Mar 2027</t>
        </is>
      </c>
      <c r="C21" s="13" t="inlineStr">
        <is>
          <t>PEI / New Brunswick</t>
        </is>
      </c>
      <c r="D21" s="13" t="inlineStr">
        <is>
          <t>Sanctioned</t>
        </is>
      </c>
      <c r="E21" s="11" t="n">
        <v>850</v>
      </c>
      <c r="F21" s="11" t="n">
        <v>850</v>
      </c>
      <c r="G21" s="10" t="inlineStr">
        <is>
          <t>Travel permit required</t>
        </is>
      </c>
    </row>
    <row r="22">
      <c r="A22" s="14" t="inlineStr">
        <is>
          <t>SUBTOTAL: TOURNAMENTS</t>
        </is>
      </c>
      <c r="B22" s="14" t="n"/>
      <c r="C22" s="14" t="n"/>
      <c r="D22" s="14" t="n"/>
      <c r="E22" s="15">
        <f>SUM(E18:E21)</f>
        <v/>
      </c>
      <c r="F22" s="15">
        <f>SUM(F18:F21)</f>
        <v/>
      </c>
      <c r="G22" s="15">
        <f>E22-F22</f>
        <v/>
      </c>
    </row>
    <row r="26">
      <c r="A26" s="18" t="inlineStr">
        <is>
          <t>3.0 EXTRA PRACTICE ICE &amp; GAME OFFICIALS</t>
        </is>
      </c>
    </row>
    <row r="27">
      <c r="A27" s="7" t="inlineStr">
        <is>
          <t>Ice / Official Item</t>
        </is>
      </c>
      <c r="B27" s="9" t="inlineStr">
        <is>
          <t>Rate &amp; Quantity</t>
        </is>
      </c>
      <c r="C27" s="9" t="inlineStr">
        <is>
          <t>Facility / Venue</t>
        </is>
      </c>
      <c r="D27" s="9" t="inlineStr">
        <is>
          <t>Event Type</t>
        </is>
      </c>
      <c r="E27" s="8" t="inlineStr">
        <is>
          <t>Projected ($)</t>
        </is>
      </c>
      <c r="F27" s="8" t="inlineStr">
        <is>
          <t>Actual Paid ($)</t>
        </is>
      </c>
      <c r="G27" s="7" t="inlineStr">
        <is>
          <t>Notes / Invoices</t>
        </is>
      </c>
    </row>
    <row r="28">
      <c r="A28" s="10" t="inlineStr">
        <is>
          <t>Additional Practice Ice (Full Ice)</t>
        </is>
      </c>
      <c r="B28" s="13" t="inlineStr">
        <is>
          <t>6 Hours @ $165/hr</t>
        </is>
      </c>
      <c r="C28" s="13" t="inlineStr">
        <is>
          <t>RECC / West Colchester</t>
        </is>
      </c>
      <c r="D28" s="13" t="inlineStr">
        <is>
          <t>Pre-Season / Mid-Season</t>
        </is>
      </c>
      <c r="E28" s="11" t="n">
        <v>990</v>
      </c>
      <c r="F28" s="11" t="n">
        <v>990</v>
      </c>
      <c r="G28" s="10" t="inlineStr">
        <is>
          <t>Extra development sessions</t>
        </is>
      </c>
    </row>
    <row r="29">
      <c r="A29" s="10" t="inlineStr">
        <is>
          <t>Exhibition Game Ice Rental</t>
        </is>
      </c>
      <c r="B29" s="13" t="inlineStr">
        <is>
          <t>2 Games @ $258/game</t>
        </is>
      </c>
      <c r="C29" s="13" t="inlineStr">
        <is>
          <t>RECC Truro</t>
        </is>
      </c>
      <c r="D29" s="13" t="inlineStr">
        <is>
          <t>Exhibition</t>
        </is>
      </c>
      <c r="E29" s="11" t="n">
        <v>516</v>
      </c>
      <c r="F29" s="11" t="n">
        <v>516</v>
      </c>
      <c r="G29" s="10" t="inlineStr">
        <is>
          <t>Home exhibition games</t>
        </is>
      </c>
    </row>
    <row r="30">
      <c r="A30" s="10" t="inlineStr">
        <is>
          <t>Referee &amp; Linesmen Official Fees</t>
        </is>
      </c>
      <c r="B30" s="13" t="inlineStr">
        <is>
          <t>2 Games @ $90/game</t>
        </is>
      </c>
      <c r="C30" s="13" t="inlineStr">
        <is>
          <t>HNS Certified Officials</t>
        </is>
      </c>
      <c r="D30" s="13" t="inlineStr">
        <is>
          <t>Exhibition</t>
        </is>
      </c>
      <c r="E30" s="11" t="n">
        <v>180</v>
      </c>
      <c r="F30" s="11" t="n">
        <v>180</v>
      </c>
      <c r="G30" s="10" t="inlineStr">
        <is>
          <t>2 refs + linesmen</t>
        </is>
      </c>
    </row>
    <row r="31">
      <c r="A31" s="10" t="inlineStr">
        <is>
          <t>Timekeeper &amp; Scorekeeper Fees</t>
        </is>
      </c>
      <c r="B31" s="13" t="inlineStr">
        <is>
          <t>2 Games @ $30/game</t>
        </is>
      </c>
      <c r="C31" s="13" t="inlineStr">
        <is>
          <t>Truro Timekeepers</t>
        </is>
      </c>
      <c r="D31" s="13" t="inlineStr">
        <is>
          <t>Exhibition</t>
        </is>
      </c>
      <c r="E31" s="11" t="n">
        <v>60</v>
      </c>
      <c r="F31" s="11" t="n">
        <v>60</v>
      </c>
      <c r="G31" s="10" t="inlineStr">
        <is>
          <t>Electronic game sheet / clock</t>
        </is>
      </c>
    </row>
    <row r="32">
      <c r="A32" s="14" t="inlineStr">
        <is>
          <t>SUBTOTAL: EXTRA ICE &amp; OFFICIALS</t>
        </is>
      </c>
      <c r="B32" s="14" t="n"/>
      <c r="C32" s="14" t="n"/>
      <c r="D32" s="14" t="n"/>
      <c r="E32" s="15">
        <f>SUM(E28:E31)</f>
        <v/>
      </c>
      <c r="F32" s="15">
        <f>SUM(F28:F31)</f>
        <v/>
      </c>
      <c r="G32" s="15">
        <f>E32-F32</f>
        <v/>
      </c>
    </row>
    <row r="35">
      <c r="A35" s="18" t="inlineStr">
        <is>
          <t>4.0 TEAM APPAREL, GEAR &amp; ITEMS</t>
        </is>
      </c>
    </row>
    <row r="36">
      <c r="A36" s="7" t="inlineStr">
        <is>
          <t>Item Description</t>
        </is>
      </c>
      <c r="B36" s="9" t="inlineStr">
        <is>
          <t>Quantity &amp; Pricing</t>
        </is>
      </c>
      <c r="C36" s="9" t="inlineStr">
        <is>
          <t>Vendor / Supplier</t>
        </is>
      </c>
      <c r="D36" s="9" t="inlineStr">
        <is>
          <t>Usage</t>
        </is>
      </c>
      <c r="E36" s="8" t="inlineStr">
        <is>
          <t>Projected ($)</t>
        </is>
      </c>
      <c r="F36" s="8" t="inlineStr">
        <is>
          <t>Actual Paid ($)</t>
        </is>
      </c>
      <c r="G36" s="7" t="inlineStr">
        <is>
          <t>Notes / Receipts</t>
        </is>
      </c>
    </row>
    <row r="37">
      <c r="A37" s="10" t="inlineStr">
        <is>
          <t>Practice Jerseys (Home &amp; Away Colors)</t>
        </is>
      </c>
      <c r="B37" s="13" t="inlineStr">
        <is>
          <t>17 Sets @ $32.35</t>
        </is>
      </c>
      <c r="C37" s="13" t="inlineStr">
        <is>
          <t>Apparel Vendor</t>
        </is>
      </c>
      <c r="D37" s="13" t="inlineStr">
        <is>
          <t>Team Property</t>
        </is>
      </c>
      <c r="E37" s="11" t="n">
        <v>550</v>
      </c>
      <c r="F37" s="11" t="n">
        <v>550</v>
      </c>
      <c r="G37" s="10" t="inlineStr">
        <is>
          <t>Kept by team / passed down</t>
        </is>
      </c>
    </row>
    <row r="38">
      <c r="A38" s="10" t="inlineStr">
        <is>
          <t>Sponsor Display Banner (Printed)</t>
        </is>
      </c>
      <c r="B38" s="13" t="inlineStr">
        <is>
          <t>Retractable / Arena Banner</t>
        </is>
      </c>
      <c r="C38" s="13" t="inlineStr">
        <is>
          <t>Local Print Shop</t>
        </is>
      </c>
      <c r="D38" s="13" t="inlineStr">
        <is>
          <t>Sponsor Value</t>
        </is>
      </c>
      <c r="E38" s="11" t="n">
        <v>200</v>
      </c>
      <c r="F38" s="11" t="n">
        <v>168.59</v>
      </c>
      <c r="G38" s="10" t="inlineStr">
        <is>
          <t>Displays sponsor logos at arena</t>
        </is>
      </c>
    </row>
    <row r="39">
      <c r="A39" s="10" t="inlineStr">
        <is>
          <t>Sponsor Bars / Player Name Bars &amp; Sewing</t>
        </is>
      </c>
      <c r="B39" s="13" t="inlineStr">
        <is>
          <t>17 Players</t>
        </is>
      </c>
      <c r="C39" s="13" t="inlineStr">
        <is>
          <t>Sewing Specialist</t>
        </is>
      </c>
      <c r="D39" s="13" t="inlineStr">
        <is>
          <t>Player Apparel</t>
        </is>
      </c>
      <c r="E39" s="11" t="n">
        <v>250</v>
      </c>
      <c r="F39" s="11" t="n">
        <v>245.59</v>
      </c>
      <c r="G39" s="10" t="inlineStr">
        <is>
          <t>Custom name bars sewn on game jerseys</t>
        </is>
      </c>
    </row>
    <row r="40">
      <c r="A40" s="10" t="inlineStr">
        <is>
          <t>Team Game Socks (Home &amp; Away)</t>
        </is>
      </c>
      <c r="B40" s="13" t="inlineStr">
        <is>
          <t>17 Players @ 2 pairs</t>
        </is>
      </c>
      <c r="C40" s="13" t="inlineStr">
        <is>
          <t>Equipment Manager</t>
        </is>
      </c>
      <c r="D40" s="13" t="inlineStr">
        <is>
          <t>Mandatory Gear</t>
        </is>
      </c>
      <c r="E40" s="11" t="n">
        <v>680</v>
      </c>
      <c r="F40" s="11" t="n">
        <v>680</v>
      </c>
      <c r="G40" s="10" t="inlineStr">
        <is>
          <t>Official Truro Bearcats colors</t>
        </is>
      </c>
    </row>
    <row r="41">
      <c r="A41" s="10" t="inlineStr">
        <is>
          <t>Team First Aid Kit &amp; Safety Supplies</t>
        </is>
      </c>
      <c r="B41" s="13" t="inlineStr">
        <is>
          <t>Full Season Kit</t>
        </is>
      </c>
      <c r="C41" s="13" t="inlineStr">
        <is>
          <t>Local Pharmacy / Sport</t>
        </is>
      </c>
      <c r="D41" s="13" t="inlineStr">
        <is>
          <t>Safety Person</t>
        </is>
      </c>
      <c r="E41" s="11" t="n">
        <v>100</v>
      </c>
      <c r="F41" s="11" t="n">
        <v>85</v>
      </c>
      <c r="G41" s="10" t="inlineStr">
        <is>
          <t>Required for every team bench</t>
        </is>
      </c>
    </row>
    <row r="42">
      <c r="A42" s="10" t="inlineStr">
        <is>
          <t>Practice Pucks, Cones, Whiteboard</t>
        </is>
      </c>
      <c r="B42" s="13" t="inlineStr">
        <is>
          <t>Puck bag &amp; coaching items</t>
        </is>
      </c>
      <c r="C42" s="13" t="inlineStr">
        <is>
          <t>Sporting Goods</t>
        </is>
      </c>
      <c r="D42" s="13" t="inlineStr">
        <is>
          <t>Coaching Staff</t>
        </is>
      </c>
      <c r="E42" s="11" t="n">
        <v>120</v>
      </c>
      <c r="F42" s="11" t="n">
        <v>95</v>
      </c>
      <c r="G42" s="10" t="inlineStr">
        <is>
          <t>Team equipment</t>
        </is>
      </c>
    </row>
    <row r="43">
      <c r="A43" s="14" t="inlineStr">
        <is>
          <t>SUBTOTAL: APPAREL &amp; TEAM ITEMS</t>
        </is>
      </c>
      <c r="B43" s="14" t="n"/>
      <c r="C43" s="14" t="n"/>
      <c r="D43" s="14" t="n"/>
      <c r="E43" s="15">
        <f>SUM(E37:E42)</f>
        <v/>
      </c>
      <c r="F43" s="15">
        <f>SUM(F37:F42)</f>
        <v/>
      </c>
      <c r="G43" s="15">
        <f>E43-F43</f>
        <v/>
      </c>
    </row>
    <row r="45">
      <c r="A45" s="18" t="inlineStr">
        <is>
          <t>5.0 TEAM ACTIVITIES &amp; PLAYER EVENTS</t>
        </is>
      </c>
    </row>
    <row r="46">
      <c r="A46" s="7" t="inlineStr">
        <is>
          <t>Activity / Event Name</t>
        </is>
      </c>
      <c r="B46" s="9" t="inlineStr">
        <is>
          <t>Date / Frequency</t>
        </is>
      </c>
      <c r="C46" s="9" t="inlineStr">
        <is>
          <t>Location / Details</t>
        </is>
      </c>
      <c r="D46" s="9" t="inlineStr">
        <is>
          <t>Participants</t>
        </is>
      </c>
      <c r="E46" s="8" t="inlineStr">
        <is>
          <t>Projected ($)</t>
        </is>
      </c>
      <c r="F46" s="8" t="inlineStr">
        <is>
          <t>Actual Paid ($)</t>
        </is>
      </c>
      <c r="G46" s="7" t="inlineStr">
        <is>
          <t>Notes / Receipts</t>
        </is>
      </c>
    </row>
    <row r="47">
      <c r="A47" s="10" t="inlineStr">
        <is>
          <t>Holiday / Christmas Family Team Party</t>
        </is>
      </c>
      <c r="B47" s="13" t="inlineStr">
        <is>
          <t>Dec 2026</t>
        </is>
      </c>
      <c r="C47" s="13" t="inlineStr">
        <is>
          <t>Local Venue / Rink</t>
        </is>
      </c>
      <c r="D47" s="13" t="inlineStr">
        <is>
          <t>All Families</t>
        </is>
      </c>
      <c r="E47" s="11" t="n">
        <v>450</v>
      </c>
      <c r="F47" s="11" t="n">
        <v>473.51</v>
      </c>
      <c r="G47" s="10" t="inlineStr">
        <is>
          <t>Food, activities, gifts</t>
        </is>
      </c>
    </row>
    <row r="48">
      <c r="A48" s="10" t="inlineStr">
        <is>
          <t>Year-End Team Party &amp; Banquet</t>
        </is>
      </c>
      <c r="B48" s="13" t="inlineStr">
        <is>
          <t>Apr 2027</t>
        </is>
      </c>
      <c r="C48" s="13" t="inlineStr">
        <is>
          <t>Local Restaurant / Hall</t>
        </is>
      </c>
      <c r="D48" s="13" t="inlineStr">
        <is>
          <t>All Families</t>
        </is>
      </c>
      <c r="E48" s="11" t="n">
        <v>500</v>
      </c>
      <c r="F48" s="11" t="n">
        <v>505</v>
      </c>
      <c r="G48" s="10" t="inlineStr">
        <is>
          <t>Awards, meal, celebration</t>
        </is>
      </c>
    </row>
    <row r="49">
      <c r="A49" s="10" t="inlineStr">
        <is>
          <t>Team Away Game Snacks &amp; Nutrition</t>
        </is>
      </c>
      <c r="B49" s="13" t="inlineStr">
        <is>
          <t>Full Season</t>
        </is>
      </c>
      <c r="C49" s="13" t="inlineStr">
        <is>
          <t>Grocery / Wholesale</t>
        </is>
      </c>
      <c r="D49" s="13" t="inlineStr">
        <is>
          <t>Player Health</t>
        </is>
      </c>
      <c r="E49" s="11" t="n">
        <v>250</v>
      </c>
      <c r="F49" s="11" t="n">
        <v>282.85</v>
      </c>
      <c r="G49" s="10" t="inlineStr">
        <is>
          <t>Fruit, granola bars, electrolytes</t>
        </is>
      </c>
    </row>
    <row r="50">
      <c r="A50" s="10" t="inlineStr">
        <is>
          <t>Coaching Staff Appreciation Gifts</t>
        </is>
      </c>
      <c r="B50" s="13" t="inlineStr">
        <is>
          <t>Head Coach &amp; 3 Assistants</t>
        </is>
      </c>
      <c r="C50" s="13" t="inlineStr">
        <is>
          <t>Local Retailer</t>
        </is>
      </c>
      <c r="D50" s="13" t="inlineStr">
        <is>
          <t>Volunteer Recognition</t>
        </is>
      </c>
      <c r="E50" s="11" t="n">
        <v>150</v>
      </c>
      <c r="F50" s="11" t="n">
        <v>140</v>
      </c>
      <c r="G50" s="10" t="inlineStr">
        <is>
          <t>End-of-year volunteer gifts</t>
        </is>
      </c>
    </row>
    <row r="51">
      <c r="A51" s="14" t="inlineStr">
        <is>
          <t>SUBTOTAL: TEAM ACTIVITIES</t>
        </is>
      </c>
      <c r="B51" s="14" t="n"/>
      <c r="C51" s="14" t="n"/>
      <c r="D51" s="14" t="n"/>
      <c r="E51" s="15">
        <f>SUM(E47:E50)</f>
        <v/>
      </c>
      <c r="F51" s="15">
        <f>SUM(F47:F50)</f>
        <v/>
      </c>
      <c r="G51" s="15">
        <f>E51-F51</f>
        <v/>
      </c>
    </row>
    <row r="54">
      <c r="A54" s="18" t="inlineStr">
        <is>
          <t>6.0 OPERATING COSTS, BANKING &amp; CONTINGENCY</t>
        </is>
      </c>
    </row>
    <row r="55">
      <c r="A55" s="7" t="inlineStr">
        <is>
          <t>Operational Item</t>
        </is>
      </c>
      <c r="B55" s="9" t="inlineStr">
        <is>
          <t>Calculation Basis</t>
        </is>
      </c>
      <c r="C55" s="9" t="inlineStr">
        <is>
          <t>Provider</t>
        </is>
      </c>
      <c r="D55" s="9" t="inlineStr">
        <is>
          <t>Category</t>
        </is>
      </c>
      <c r="E55" s="8" t="inlineStr">
        <is>
          <t>Projected ($)</t>
        </is>
      </c>
      <c r="F55" s="8" t="inlineStr">
        <is>
          <t>Actual Paid ($)</t>
        </is>
      </c>
      <c r="G55" s="7" t="inlineStr">
        <is>
          <t>Notes / Verification</t>
        </is>
      </c>
    </row>
    <row r="56">
      <c r="A56" s="10" t="inlineStr">
        <is>
          <t>Mosaik Credit Union Monthly Service Fees</t>
        </is>
      </c>
      <c r="B56" s="13" t="inlineStr">
        <is>
          <t>7 Months @ $15/mo</t>
        </is>
      </c>
      <c r="C56" s="13" t="inlineStr">
        <is>
          <t>Mosaik Truro Branch</t>
        </is>
      </c>
      <c r="D56" s="13" t="inlineStr">
        <is>
          <t>Bank Maintenance</t>
        </is>
      </c>
      <c r="E56" s="11" t="n">
        <v>105</v>
      </c>
      <c r="F56" s="11" t="n">
        <v>90</v>
      </c>
      <c r="G56" s="10" t="inlineStr">
        <is>
          <t>$15/month commercial account</t>
        </is>
      </c>
    </row>
    <row r="57">
      <c r="A57" s="10" t="inlineStr">
        <is>
          <t>Banking Supplies (Chequebook, Deposit Slips)</t>
        </is>
      </c>
      <c r="B57" s="13" t="inlineStr">
        <is>
          <t>1 Order</t>
        </is>
      </c>
      <c r="C57" s="13" t="inlineStr">
        <is>
          <t>Mosaik Truro</t>
        </is>
      </c>
      <c r="D57" s="13" t="inlineStr">
        <is>
          <t>Administration</t>
        </is>
      </c>
      <c r="E57" s="11" t="n">
        <v>45</v>
      </c>
      <c r="F57" s="11" t="n">
        <v>35</v>
      </c>
      <c r="G57" s="10" t="inlineStr">
        <is>
          <t>Cheque printing fees</t>
        </is>
      </c>
    </row>
    <row r="58">
      <c r="A58" s="10" t="inlineStr">
        <is>
          <t>Emergency Contingency Fund (Unexpected Ice/Playoffs)</t>
        </is>
      </c>
      <c r="B58" s="13" t="inlineStr">
        <is>
          <t>Season Buffer</t>
        </is>
      </c>
      <c r="C58" s="13" t="inlineStr">
        <is>
          <t>Held in Account</t>
        </is>
      </c>
      <c r="D58" s="13" t="inlineStr">
        <is>
          <t>Buffer</t>
        </is>
      </c>
      <c r="E58" s="11" t="n">
        <v>350</v>
      </c>
      <c r="F58" s="11" t="n">
        <v>0</v>
      </c>
      <c r="G58" s="10" t="inlineStr">
        <is>
          <t>Safety margin for unexpected costs</t>
        </is>
      </c>
    </row>
    <row r="59">
      <c r="A59" s="14" t="inlineStr">
        <is>
          <t>SUBTOTAL: OPERATING &amp; BANKING</t>
        </is>
      </c>
      <c r="B59" s="14" t="n"/>
      <c r="C59" s="14" t="n"/>
      <c r="D59" s="14" t="n"/>
      <c r="E59" s="15">
        <f>SUM(E56:E58)</f>
        <v/>
      </c>
      <c r="F59" s="15">
        <f>SUM(F56:F58)</f>
        <v/>
      </c>
      <c r="G59" s="15">
        <f>E59-F59</f>
        <v/>
      </c>
    </row>
    <row r="62">
      <c r="A62" s="18" t="inlineStr">
        <is>
          <t>7.0 PARENT JERSEY DEPOSIT REFUNDS</t>
        </is>
      </c>
    </row>
    <row r="63">
      <c r="A63" s="7" t="inlineStr">
        <is>
          <t>Refund Description</t>
        </is>
      </c>
      <c r="B63" s="9" t="inlineStr">
        <is>
          <t>Quantity &amp; Basis</t>
        </is>
      </c>
      <c r="C63" s="9" t="inlineStr">
        <is>
          <t>Target Date</t>
        </is>
      </c>
      <c r="D63" s="9" t="inlineStr">
        <is>
          <t>Category</t>
        </is>
      </c>
      <c r="E63" s="8" t="inlineStr">
        <is>
          <t>Projected ($)</t>
        </is>
      </c>
      <c r="F63" s="8" t="inlineStr">
        <is>
          <t>Actual Paid ($)</t>
        </is>
      </c>
      <c r="G63" s="7" t="inlineStr">
        <is>
          <t>Policy Rule</t>
        </is>
      </c>
    </row>
    <row r="64">
      <c r="A64" s="10" t="inlineStr">
        <is>
          <t>Return of Parent Jersey Deposits (100% Refund)</t>
        </is>
      </c>
      <c r="B64" s="13" t="inlineStr">
        <is>
          <t>17 Players @ $150</t>
        </is>
      </c>
      <c r="C64" s="13" t="inlineStr">
        <is>
          <t>End of Season (Apr 2027)</t>
        </is>
      </c>
      <c r="D64" s="13" t="inlineStr">
        <is>
          <t>Trust Return</t>
        </is>
      </c>
      <c r="E64" s="11" t="n">
        <v>2550</v>
      </c>
      <c r="F64" s="11" t="n">
        <v>0</v>
      </c>
      <c r="G64" s="10" t="inlineStr">
        <is>
          <t>Refunded in full upon jersey return</t>
        </is>
      </c>
    </row>
    <row r="65">
      <c r="A65" s="14" t="inlineStr">
        <is>
          <t>SUBTOTAL: JERSEY DEPOSIT REFUNDS</t>
        </is>
      </c>
      <c r="B65" s="14" t="n"/>
      <c r="C65" s="14" t="n"/>
      <c r="D65" s="14" t="n"/>
      <c r="E65" s="15">
        <f>SUM(E64:E64)</f>
        <v/>
      </c>
      <c r="F65" s="15">
        <f>SUM(F64:F64)</f>
        <v/>
      </c>
      <c r="G65" s="15">
        <f>E65-F65</f>
        <v/>
      </c>
    </row>
    <row r="68">
      <c r="A68" s="30" t="inlineStr">
        <is>
          <t>TOTAL TEAM EXPENSES (ALL 7 CATEGORIES)</t>
        </is>
      </c>
      <c r="B68" s="30" t="n"/>
      <c r="C68" s="30" t="n"/>
      <c r="D68" s="30" t="n"/>
      <c r="E68" s="31">
        <f>E11+E22+E32+E43+E51+E59+E65</f>
        <v/>
      </c>
      <c r="F68" s="31">
        <f>F11+F22+F32+F43+F51+F59+F65</f>
        <v/>
      </c>
      <c r="G68" s="31">
        <f>E68-F68</f>
        <v/>
      </c>
    </row>
  </sheetData>
  <mergeCells count="10">
    <mergeCell ref="A1:G1"/>
    <mergeCell ref="A35:G35"/>
    <mergeCell ref="A4:G4"/>
    <mergeCell ref="A62:G62"/>
    <mergeCell ref="A26:G26"/>
    <mergeCell ref="A16:G16"/>
    <mergeCell ref="A2:G2"/>
    <mergeCell ref="A54:G54"/>
    <mergeCell ref="A68:D68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6" customWidth="1" min="3" max="3"/>
    <col width="28" customWidth="1" min="4" max="4"/>
    <col width="20" customWidth="1" min="5" max="5"/>
    <col width="38" customWidth="1" min="6" max="6"/>
  </cols>
  <sheetData>
    <row r="1">
      <c r="A1" s="1" t="inlineStr">
        <is>
          <t>MOSAIK CREDIT UNION - MONTHLY BANK RECONCILIATION</t>
        </is>
      </c>
    </row>
    <row r="2">
      <c r="A2" s="2" t="inlineStr">
        <is>
          <t>Reconciles Bank Statement Balance Against Team Budget Cash Position</t>
        </is>
      </c>
    </row>
    <row r="4">
      <c r="A4" s="3" t="inlineStr">
        <is>
          <t>Team Name:</t>
        </is>
      </c>
      <c r="B4" s="25">
        <f>'Budget Summary'!$B$4</f>
        <v/>
      </c>
      <c r="D4" s="3" t="inlineStr">
        <is>
          <t>Mosaik Account #:</t>
        </is>
      </c>
      <c r="E4" s="25">
        <f>'Budget Summary'!$B$6</f>
        <v/>
      </c>
    </row>
    <row r="5">
      <c r="A5" s="3" t="inlineStr">
        <is>
          <t>Statement Date:</t>
        </is>
      </c>
      <c r="B5" s="25" t="inlineStr">
        <is>
          <t>October 31, 2026</t>
        </is>
      </c>
      <c r="D5" s="3" t="inlineStr">
        <is>
          <t>Reconciled By:</t>
        </is>
      </c>
      <c r="E5" s="25">
        <f>'Budget Summary'!$G$5</f>
        <v/>
      </c>
    </row>
    <row r="7">
      <c r="A7" s="32" t="inlineStr">
        <is>
          <t>1. Ending Balance per Mosaik Bank Statement</t>
        </is>
      </c>
      <c r="E7" s="33" t="n">
        <v>10302.96</v>
      </c>
    </row>
    <row r="9">
      <c r="A9" s="18" t="inlineStr">
        <is>
          <t>2. ADD: Outstanding Deposits (Recorded in ledger, not yet cleared on bank statement)</t>
        </is>
      </c>
    </row>
    <row r="10">
      <c r="A10" s="7" t="inlineStr">
        <is>
          <t>Deposit Description</t>
        </is>
      </c>
      <c r="B10" s="9" t="inlineStr">
        <is>
          <t>Date Received</t>
        </is>
      </c>
      <c r="C10" s="7" t="inlineStr">
        <is>
          <t>Payer / Source</t>
        </is>
      </c>
      <c r="D10" s="9" t="inlineStr">
        <is>
          <t>Payment Method</t>
        </is>
      </c>
      <c r="E10" s="8" t="inlineStr">
        <is>
          <t>Amount ($)</t>
        </is>
      </c>
      <c r="F10" s="7" t="inlineStr">
        <is>
          <t>Notes</t>
        </is>
      </c>
    </row>
    <row r="11">
      <c r="A11" s="10" t="inlineStr">
        <is>
          <t>Sponsorship Cheque - Gold Banner</t>
        </is>
      </c>
      <c r="B11" s="13" t="inlineStr">
        <is>
          <t>Oct 28, 2026</t>
        </is>
      </c>
      <c r="C11" s="10" t="inlineStr">
        <is>
          <t>Local Business</t>
        </is>
      </c>
      <c r="D11" s="13" t="inlineStr">
        <is>
          <t>Cheque</t>
        </is>
      </c>
      <c r="E11" s="11" t="n">
        <v>500</v>
      </c>
      <c r="F11" s="10" t="inlineStr">
        <is>
          <t>Deposited via mobile, clearing</t>
        </is>
      </c>
    </row>
    <row r="12">
      <c r="A12" s="10" t="inlineStr">
        <is>
          <t>Late Parent Rep Fee Installment</t>
        </is>
      </c>
      <c r="B12" s="13" t="inlineStr">
        <is>
          <t>Oct 30, 2026</t>
        </is>
      </c>
      <c r="C12" s="10" t="inlineStr">
        <is>
          <t>Parent Name</t>
        </is>
      </c>
      <c r="D12" s="13" t="inlineStr">
        <is>
          <t>E-transfer</t>
        </is>
      </c>
      <c r="E12" s="11" t="n">
        <v>226.47</v>
      </c>
      <c r="F12" s="10" t="inlineStr">
        <is>
          <t>Pending deposit acceptance</t>
        </is>
      </c>
    </row>
    <row r="13">
      <c r="A13" s="10" t="inlineStr">
        <is>
          <t>Bottle Drive Cash Deposit</t>
        </is>
      </c>
      <c r="B13" s="13" t="inlineStr">
        <is>
          <t>Oct 31, 2026</t>
        </is>
      </c>
      <c r="C13" s="10" t="inlineStr">
        <is>
          <t>Manager</t>
        </is>
      </c>
      <c r="D13" s="13" t="inlineStr">
        <is>
          <t>Cash</t>
        </is>
      </c>
      <c r="E13" s="11" t="n">
        <v>200</v>
      </c>
      <c r="F13" s="10" t="inlineStr">
        <is>
          <t>Night deposit box</t>
        </is>
      </c>
    </row>
    <row r="14">
      <c r="A14" s="10" t="inlineStr"/>
      <c r="B14" s="13" t="inlineStr"/>
      <c r="C14" s="10" t="inlineStr"/>
      <c r="D14" s="13" t="inlineStr"/>
      <c r="E14" s="11" t="n">
        <v>0</v>
      </c>
      <c r="F14" s="10" t="inlineStr"/>
    </row>
    <row r="15">
      <c r="A15" s="10" t="inlineStr"/>
      <c r="B15" s="13" t="inlineStr"/>
      <c r="C15" s="10" t="inlineStr"/>
      <c r="D15" s="13" t="inlineStr"/>
      <c r="E15" s="11" t="n">
        <v>0</v>
      </c>
      <c r="F15" s="10" t="inlineStr"/>
    </row>
    <row r="16">
      <c r="A16" s="14" t="inlineStr">
        <is>
          <t>TOTAL OUTSTANDING DEPOSITS</t>
        </is>
      </c>
      <c r="B16" s="14" t="n"/>
      <c r="C16" s="14" t="n"/>
      <c r="D16" s="14" t="n"/>
      <c r="E16" s="15">
        <f>SUM(E11:E15)</f>
        <v/>
      </c>
      <c r="F16" s="14" t="n"/>
    </row>
    <row r="18">
      <c r="A18" s="18" t="inlineStr">
        <is>
          <t>3. LESS: Outstanding Withdrawals &amp; Cheques (Issued in ledger, not yet cashed)</t>
        </is>
      </c>
    </row>
    <row r="19">
      <c r="A19" s="9" t="inlineStr">
        <is>
          <t>Cheque # / Transaction</t>
        </is>
      </c>
      <c r="B19" s="9" t="inlineStr">
        <is>
          <t>Date Issued</t>
        </is>
      </c>
      <c r="C19" s="7" t="inlineStr">
        <is>
          <t>Payee / Vendor</t>
        </is>
      </c>
      <c r="D19" s="7" t="inlineStr">
        <is>
          <t>Description</t>
        </is>
      </c>
      <c r="E19" s="8" t="inlineStr">
        <is>
          <t>Amount ($)</t>
        </is>
      </c>
      <c r="F19" s="9" t="inlineStr">
        <is>
          <t>Status</t>
        </is>
      </c>
    </row>
    <row r="20">
      <c r="A20" s="13" t="inlineStr">
        <is>
          <t>Cheque #101</t>
        </is>
      </c>
      <c r="B20" s="13" t="inlineStr">
        <is>
          <t>Oct 15, 2026</t>
        </is>
      </c>
      <c r="C20" s="10" t="inlineStr">
        <is>
          <t>Amherst Minor Hockey</t>
        </is>
      </c>
      <c r="D20" s="10" t="inlineStr">
        <is>
          <t>Tournament Entry Fee</t>
        </is>
      </c>
      <c r="E20" s="11" t="n">
        <v>850</v>
      </c>
      <c r="F20" s="13" t="inlineStr">
        <is>
          <t>Issued, not yet cashed</t>
        </is>
      </c>
    </row>
    <row r="21">
      <c r="A21" s="13" t="inlineStr">
        <is>
          <t>Cheque #102</t>
        </is>
      </c>
      <c r="B21" s="13" t="inlineStr">
        <is>
          <t>Oct 20, 2026</t>
        </is>
      </c>
      <c r="C21" s="10" t="inlineStr">
        <is>
          <t>Local Print Shop</t>
        </is>
      </c>
      <c r="D21" s="10" t="inlineStr">
        <is>
          <t>Sponsor Banner Printing</t>
        </is>
      </c>
      <c r="E21" s="11" t="n">
        <v>168.59</v>
      </c>
      <c r="F21" s="13" t="inlineStr">
        <is>
          <t>Issued, in mail</t>
        </is>
      </c>
    </row>
    <row r="22">
      <c r="A22" s="13" t="inlineStr">
        <is>
          <t>Cheque #103</t>
        </is>
      </c>
      <c r="B22" s="13" t="inlineStr">
        <is>
          <t>Oct 25, 2026</t>
        </is>
      </c>
      <c r="C22" s="10" t="inlineStr">
        <is>
          <t>Apparel Vendor</t>
        </is>
      </c>
      <c r="D22" s="10" t="inlineStr">
        <is>
          <t>Practice Jerseys Deposit</t>
        </is>
      </c>
      <c r="E22" s="11" t="n">
        <v>550</v>
      </c>
      <c r="F22" s="13" t="inlineStr">
        <is>
          <t>Issued</t>
        </is>
      </c>
    </row>
    <row r="23">
      <c r="A23" s="13" t="inlineStr"/>
      <c r="B23" s="13" t="inlineStr"/>
      <c r="C23" s="10" t="inlineStr"/>
      <c r="D23" s="10" t="inlineStr"/>
      <c r="E23" s="11" t="n">
        <v>0</v>
      </c>
      <c r="F23" s="13" t="inlineStr"/>
    </row>
    <row r="24">
      <c r="A24" s="13" t="inlineStr"/>
      <c r="B24" s="13" t="inlineStr"/>
      <c r="C24" s="10" t="inlineStr"/>
      <c r="D24" s="10" t="inlineStr"/>
      <c r="E24" s="11" t="n">
        <v>0</v>
      </c>
      <c r="F24" s="13" t="inlineStr"/>
    </row>
    <row r="25">
      <c r="A25" s="13" t="inlineStr"/>
      <c r="B25" s="13" t="inlineStr"/>
      <c r="C25" s="10" t="inlineStr"/>
      <c r="D25" s="10" t="inlineStr"/>
      <c r="E25" s="11" t="n">
        <v>0</v>
      </c>
      <c r="F25" s="13" t="inlineStr"/>
    </row>
    <row r="26">
      <c r="A26" s="14" t="inlineStr">
        <is>
          <t>TOTAL OUTSTANDING WITHDRAWALS</t>
        </is>
      </c>
      <c r="B26" s="14" t="n"/>
      <c r="C26" s="14" t="n"/>
      <c r="D26" s="14" t="n"/>
      <c r="E26" s="15">
        <f>SUM(E20:E25)</f>
        <v/>
      </c>
      <c r="F26" s="14" t="n"/>
    </row>
    <row r="28">
      <c r="A28" s="3" t="inlineStr">
        <is>
          <t>4. ADJUSTED BANK BALANCE (Bank Balance + Deposits - Withdrawals)</t>
        </is>
      </c>
      <c r="B28" s="3" t="n"/>
      <c r="C28" s="3" t="n"/>
      <c r="D28" s="3" t="n"/>
      <c r="E28" s="34">
        <f>E7+E16-E26</f>
        <v/>
      </c>
      <c r="F28" s="3" t="n"/>
    </row>
    <row r="29">
      <c r="A29" s="3" t="inlineStr">
        <is>
          <t>5. BOOK BALANCE PER TEAM BUDGET (Actual Revenue YTD - Actual Expenses YTD)</t>
        </is>
      </c>
      <c r="B29" s="3" t="n"/>
      <c r="C29" s="3" t="n"/>
      <c r="D29" s="3" t="n"/>
      <c r="E29" s="34">
        <f>'Budget Summary'!C21-'Budget Summary'!C36</f>
        <v/>
      </c>
      <c r="F29" s="3" t="n"/>
    </row>
    <row r="30">
      <c r="A30" s="28" t="inlineStr">
        <is>
          <t>6. UNRECONCILED VARIANCE / DIFFERENCE (Must equal $0.00)</t>
        </is>
      </c>
      <c r="B30" s="28" t="n"/>
      <c r="C30" s="28" t="n"/>
      <c r="D30" s="28" t="n"/>
      <c r="E30" s="29">
        <f>E28-E29</f>
        <v/>
      </c>
      <c r="F30" s="35">
        <f>IF(ROUND(E30,2)=0,"✅ BALANCED - PERFECT RECONCILIATION","⚠️ OUT OF BALANCE")</f>
        <v/>
      </c>
    </row>
  </sheetData>
  <mergeCells count="10">
    <mergeCell ref="A2:F2"/>
    <mergeCell ref="A1:F1"/>
    <mergeCell ref="A26:D26"/>
    <mergeCell ref="A9:F9"/>
    <mergeCell ref="A30:D30"/>
    <mergeCell ref="A29:D29"/>
    <mergeCell ref="A7:D7"/>
    <mergeCell ref="A18:F18"/>
    <mergeCell ref="A16:D16"/>
    <mergeCell ref="A28:D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6" customWidth="1" min="3" max="3"/>
    <col width="28" customWidth="1" min="4" max="4"/>
    <col width="20" customWidth="1" min="5" max="5"/>
    <col width="22" customWidth="1" min="6" max="6"/>
    <col width="22" customWidth="1" min="7" max="7"/>
    <col width="22" customWidth="1" min="8" max="8"/>
    <col width="18" customWidth="1" min="9" max="9"/>
    <col width="18" customWidth="1" min="10" max="10"/>
    <col width="32" customWidth="1" min="11" max="11"/>
  </cols>
  <sheetData>
    <row r="1">
      <c r="A1" s="1" t="inlineStr">
        <is>
          <t>INDIVIDUAL PLAYER FEE &amp; JERSEY DEPOSIT TRACKING LEDGER</t>
        </is>
      </c>
    </row>
    <row r="2">
      <c r="A2" s="2" t="inlineStr">
        <is>
          <t>Tracks Parent Payments, Jersey Deposit Cheques, Fundraising Quotas &amp; Refund Approvals</t>
        </is>
      </c>
    </row>
    <row r="4">
      <c r="A4" s="9" t="inlineStr">
        <is>
          <t>Jersey #</t>
        </is>
      </c>
      <c r="B4" s="7" t="inlineStr">
        <is>
          <t>Player Legal Name</t>
        </is>
      </c>
      <c r="C4" s="7" t="inlineStr">
        <is>
          <t>Parent / Guardian Contact</t>
        </is>
      </c>
      <c r="D4" s="7" t="inlineStr">
        <is>
          <t>Parent Email</t>
        </is>
      </c>
      <c r="E4" s="8" t="inlineStr">
        <is>
          <t>Jersey Deposit ($150)</t>
        </is>
      </c>
      <c r="F4" s="8" t="inlineStr">
        <is>
          <t>Rep Fee Install. 1 ($226.47)</t>
        </is>
      </c>
      <c r="G4" s="8" t="inlineStr">
        <is>
          <t>Rep Fee Install. 2 ($226.47)</t>
        </is>
      </c>
      <c r="H4" s="8" t="inlineStr">
        <is>
          <t>Team Fee / Cash Call ($100)</t>
        </is>
      </c>
      <c r="I4" s="8" t="inlineStr">
        <is>
          <t>Total Paid ($)</t>
        </is>
      </c>
      <c r="J4" s="8" t="inlineStr">
        <is>
          <t>Balance Due ($)</t>
        </is>
      </c>
      <c r="K4" s="9" t="inlineStr">
        <is>
          <t>Jersey Returned &amp; Deposit Cleared?</t>
        </is>
      </c>
    </row>
    <row r="5">
      <c r="A5" s="13" t="n">
        <v>1</v>
      </c>
      <c r="B5" s="10" t="inlineStr">
        <is>
          <t>Player 1 Name</t>
        </is>
      </c>
      <c r="C5" s="10" t="inlineStr">
        <is>
          <t>Parent of Player 1</t>
        </is>
      </c>
      <c r="D5" s="10" t="inlineStr">
        <is>
          <t>parent1@example.com</t>
        </is>
      </c>
      <c r="E5" s="36" t="n">
        <v>150</v>
      </c>
      <c r="F5" s="36" t="n">
        <v>226.47</v>
      </c>
      <c r="G5" s="36" t="n">
        <v>226.47</v>
      </c>
      <c r="H5" s="36" t="n">
        <v>100</v>
      </c>
      <c r="I5" s="36">
        <f>SUM(E5:H5)</f>
        <v/>
      </c>
      <c r="J5" s="36">
        <f>(150+226.47+226.47+100)-I5</f>
        <v/>
      </c>
      <c r="K5" s="13" t="inlineStr">
        <is>
          <t>Cheque on File</t>
        </is>
      </c>
    </row>
    <row r="6">
      <c r="A6" s="13" t="n">
        <v>2</v>
      </c>
      <c r="B6" s="10" t="inlineStr">
        <is>
          <t>Player 2 Name</t>
        </is>
      </c>
      <c r="C6" s="10" t="inlineStr">
        <is>
          <t>Parent of Player 2</t>
        </is>
      </c>
      <c r="D6" s="10" t="inlineStr">
        <is>
          <t>parent2@example.com</t>
        </is>
      </c>
      <c r="E6" s="36" t="n">
        <v>150</v>
      </c>
      <c r="F6" s="36" t="n">
        <v>226.47</v>
      </c>
      <c r="G6" s="36" t="n">
        <v>226.47</v>
      </c>
      <c r="H6" s="36" t="n">
        <v>100</v>
      </c>
      <c r="I6" s="36">
        <f>SUM(E6:H6)</f>
        <v/>
      </c>
      <c r="J6" s="36">
        <f>(150+226.47+226.47+100)-I6</f>
        <v/>
      </c>
      <c r="K6" s="13" t="inlineStr">
        <is>
          <t>Cheque on File</t>
        </is>
      </c>
    </row>
    <row r="7">
      <c r="A7" s="13" t="n">
        <v>3</v>
      </c>
      <c r="B7" s="10" t="inlineStr">
        <is>
          <t>Player 3 Name</t>
        </is>
      </c>
      <c r="C7" s="10" t="inlineStr">
        <is>
          <t>Parent of Player 3</t>
        </is>
      </c>
      <c r="D7" s="10" t="inlineStr">
        <is>
          <t>parent3@example.com</t>
        </is>
      </c>
      <c r="E7" s="36" t="n">
        <v>150</v>
      </c>
      <c r="F7" s="36" t="n">
        <v>226.47</v>
      </c>
      <c r="G7" s="36" t="n">
        <v>226.47</v>
      </c>
      <c r="H7" s="36" t="n">
        <v>100</v>
      </c>
      <c r="I7" s="36">
        <f>SUM(E7:H7)</f>
        <v/>
      </c>
      <c r="J7" s="36">
        <f>(150+226.47+226.47+100)-I7</f>
        <v/>
      </c>
      <c r="K7" s="13" t="inlineStr">
        <is>
          <t>Cheque on File</t>
        </is>
      </c>
    </row>
    <row r="8">
      <c r="A8" s="13" t="n">
        <v>4</v>
      </c>
      <c r="B8" s="10" t="inlineStr">
        <is>
          <t>Player 4 Name</t>
        </is>
      </c>
      <c r="C8" s="10" t="inlineStr">
        <is>
          <t>Parent of Player 4</t>
        </is>
      </c>
      <c r="D8" s="10" t="inlineStr">
        <is>
          <t>parent4@example.com</t>
        </is>
      </c>
      <c r="E8" s="36" t="n">
        <v>150</v>
      </c>
      <c r="F8" s="36" t="n">
        <v>226.47</v>
      </c>
      <c r="G8" s="36" t="n">
        <v>226.47</v>
      </c>
      <c r="H8" s="36" t="n">
        <v>100</v>
      </c>
      <c r="I8" s="36">
        <f>SUM(E8:H8)</f>
        <v/>
      </c>
      <c r="J8" s="36">
        <f>(150+226.47+226.47+100)-I8</f>
        <v/>
      </c>
      <c r="K8" s="13" t="inlineStr">
        <is>
          <t>Cheque on File</t>
        </is>
      </c>
    </row>
    <row r="9">
      <c r="A9" s="13" t="n">
        <v>5</v>
      </c>
      <c r="B9" s="10" t="inlineStr">
        <is>
          <t>Player 5 Name</t>
        </is>
      </c>
      <c r="C9" s="10" t="inlineStr">
        <is>
          <t>Parent of Player 5</t>
        </is>
      </c>
      <c r="D9" s="10" t="inlineStr">
        <is>
          <t>parent5@example.com</t>
        </is>
      </c>
      <c r="E9" s="36" t="n">
        <v>150</v>
      </c>
      <c r="F9" s="36" t="n">
        <v>226.47</v>
      </c>
      <c r="G9" s="36" t="n">
        <v>226.47</v>
      </c>
      <c r="H9" s="36" t="n">
        <v>100</v>
      </c>
      <c r="I9" s="36">
        <f>SUM(E9:H9)</f>
        <v/>
      </c>
      <c r="J9" s="36">
        <f>(150+226.47+226.47+100)-I9</f>
        <v/>
      </c>
      <c r="K9" s="13" t="inlineStr">
        <is>
          <t>Cheque on File</t>
        </is>
      </c>
    </row>
    <row r="10">
      <c r="A10" s="13" t="n">
        <v>6</v>
      </c>
      <c r="B10" s="10" t="inlineStr">
        <is>
          <t>Player 6 Name</t>
        </is>
      </c>
      <c r="C10" s="10" t="inlineStr">
        <is>
          <t>Parent of Player 6</t>
        </is>
      </c>
      <c r="D10" s="10" t="inlineStr">
        <is>
          <t>parent6@example.com</t>
        </is>
      </c>
      <c r="E10" s="36" t="n">
        <v>150</v>
      </c>
      <c r="F10" s="36" t="n">
        <v>226.47</v>
      </c>
      <c r="G10" s="36" t="n">
        <v>226.47</v>
      </c>
      <c r="H10" s="36" t="n">
        <v>100</v>
      </c>
      <c r="I10" s="36">
        <f>SUM(E10:H10)</f>
        <v/>
      </c>
      <c r="J10" s="36">
        <f>(150+226.47+226.47+100)-I10</f>
        <v/>
      </c>
      <c r="K10" s="13" t="inlineStr">
        <is>
          <t>Cheque on File</t>
        </is>
      </c>
    </row>
    <row r="11">
      <c r="A11" s="13" t="n">
        <v>7</v>
      </c>
      <c r="B11" s="10" t="inlineStr">
        <is>
          <t>Player 7 Name</t>
        </is>
      </c>
      <c r="C11" s="10" t="inlineStr">
        <is>
          <t>Parent of Player 7</t>
        </is>
      </c>
      <c r="D11" s="10" t="inlineStr">
        <is>
          <t>parent7@example.com</t>
        </is>
      </c>
      <c r="E11" s="36" t="n">
        <v>150</v>
      </c>
      <c r="F11" s="36" t="n">
        <v>226.47</v>
      </c>
      <c r="G11" s="36" t="n">
        <v>226.47</v>
      </c>
      <c r="H11" s="36" t="n">
        <v>100</v>
      </c>
      <c r="I11" s="36">
        <f>SUM(E11:H11)</f>
        <v/>
      </c>
      <c r="J11" s="36">
        <f>(150+226.47+226.47+100)-I11</f>
        <v/>
      </c>
      <c r="K11" s="13" t="inlineStr">
        <is>
          <t>Cheque on File</t>
        </is>
      </c>
    </row>
    <row r="12">
      <c r="A12" s="13" t="n">
        <v>8</v>
      </c>
      <c r="B12" s="10" t="inlineStr">
        <is>
          <t>Player 8 Name</t>
        </is>
      </c>
      <c r="C12" s="10" t="inlineStr">
        <is>
          <t>Parent of Player 8</t>
        </is>
      </c>
      <c r="D12" s="10" t="inlineStr">
        <is>
          <t>parent8@example.com</t>
        </is>
      </c>
      <c r="E12" s="36" t="n">
        <v>150</v>
      </c>
      <c r="F12" s="36" t="n">
        <v>226.47</v>
      </c>
      <c r="G12" s="36" t="n">
        <v>226.47</v>
      </c>
      <c r="H12" s="36" t="n">
        <v>100</v>
      </c>
      <c r="I12" s="36">
        <f>SUM(E12:H12)</f>
        <v/>
      </c>
      <c r="J12" s="36">
        <f>(150+226.47+226.47+100)-I12</f>
        <v/>
      </c>
      <c r="K12" s="13" t="inlineStr">
        <is>
          <t>Cheque on File</t>
        </is>
      </c>
    </row>
    <row r="13">
      <c r="A13" s="13" t="n">
        <v>9</v>
      </c>
      <c r="B13" s="10" t="inlineStr">
        <is>
          <t>Player 9 Name</t>
        </is>
      </c>
      <c r="C13" s="10" t="inlineStr">
        <is>
          <t>Parent of Player 9</t>
        </is>
      </c>
      <c r="D13" s="10" t="inlineStr">
        <is>
          <t>parent9@example.com</t>
        </is>
      </c>
      <c r="E13" s="36" t="n">
        <v>150</v>
      </c>
      <c r="F13" s="36" t="n">
        <v>226.47</v>
      </c>
      <c r="G13" s="36" t="n">
        <v>226.47</v>
      </c>
      <c r="H13" s="36" t="n">
        <v>100</v>
      </c>
      <c r="I13" s="36">
        <f>SUM(E13:H13)</f>
        <v/>
      </c>
      <c r="J13" s="36">
        <f>(150+226.47+226.47+100)-I13</f>
        <v/>
      </c>
      <c r="K13" s="13" t="inlineStr">
        <is>
          <t>Cheque on File</t>
        </is>
      </c>
    </row>
    <row r="14">
      <c r="A14" s="13" t="n">
        <v>10</v>
      </c>
      <c r="B14" s="10" t="inlineStr">
        <is>
          <t>Player 10 Name</t>
        </is>
      </c>
      <c r="C14" s="10" t="inlineStr">
        <is>
          <t>Parent of Player 10</t>
        </is>
      </c>
      <c r="D14" s="10" t="inlineStr">
        <is>
          <t>parent10@example.com</t>
        </is>
      </c>
      <c r="E14" s="36" t="n">
        <v>150</v>
      </c>
      <c r="F14" s="36" t="n">
        <v>226.47</v>
      </c>
      <c r="G14" s="36" t="n">
        <v>226.47</v>
      </c>
      <c r="H14" s="36" t="n">
        <v>100</v>
      </c>
      <c r="I14" s="36">
        <f>SUM(E14:H14)</f>
        <v/>
      </c>
      <c r="J14" s="36">
        <f>(150+226.47+226.47+100)-I14</f>
        <v/>
      </c>
      <c r="K14" s="13" t="inlineStr">
        <is>
          <t>Cheque on File</t>
        </is>
      </c>
    </row>
    <row r="15">
      <c r="A15" s="13" t="n">
        <v>11</v>
      </c>
      <c r="B15" s="10" t="inlineStr">
        <is>
          <t>Player 11 Name</t>
        </is>
      </c>
      <c r="C15" s="10" t="inlineStr">
        <is>
          <t>Parent of Player 11</t>
        </is>
      </c>
      <c r="D15" s="10" t="inlineStr">
        <is>
          <t>parent11@example.com</t>
        </is>
      </c>
      <c r="E15" s="36" t="n">
        <v>150</v>
      </c>
      <c r="F15" s="36" t="n">
        <v>226.47</v>
      </c>
      <c r="G15" s="36" t="n">
        <v>226.47</v>
      </c>
      <c r="H15" s="36" t="n">
        <v>100</v>
      </c>
      <c r="I15" s="36">
        <f>SUM(E15:H15)</f>
        <v/>
      </c>
      <c r="J15" s="36">
        <f>(150+226.47+226.47+100)-I15</f>
        <v/>
      </c>
      <c r="K15" s="13" t="inlineStr">
        <is>
          <t>Cheque on File</t>
        </is>
      </c>
    </row>
    <row r="16">
      <c r="A16" s="13" t="n">
        <v>12</v>
      </c>
      <c r="B16" s="10" t="inlineStr">
        <is>
          <t>Player 12 Name</t>
        </is>
      </c>
      <c r="C16" s="10" t="inlineStr">
        <is>
          <t>Parent of Player 12</t>
        </is>
      </c>
      <c r="D16" s="10" t="inlineStr">
        <is>
          <t>parent12@example.com</t>
        </is>
      </c>
      <c r="E16" s="36" t="n">
        <v>150</v>
      </c>
      <c r="F16" s="36" t="n">
        <v>226.47</v>
      </c>
      <c r="G16" s="36" t="n">
        <v>226.47</v>
      </c>
      <c r="H16" s="36" t="n">
        <v>100</v>
      </c>
      <c r="I16" s="36">
        <f>SUM(E16:H16)</f>
        <v/>
      </c>
      <c r="J16" s="36">
        <f>(150+226.47+226.47+100)-I16</f>
        <v/>
      </c>
      <c r="K16" s="13" t="inlineStr">
        <is>
          <t>Cheque on File</t>
        </is>
      </c>
    </row>
    <row r="17">
      <c r="A17" s="13" t="n">
        <v>13</v>
      </c>
      <c r="B17" s="10" t="inlineStr">
        <is>
          <t>Player 13 Name</t>
        </is>
      </c>
      <c r="C17" s="10" t="inlineStr">
        <is>
          <t>Parent of Player 13</t>
        </is>
      </c>
      <c r="D17" s="10" t="inlineStr">
        <is>
          <t>parent13@example.com</t>
        </is>
      </c>
      <c r="E17" s="36" t="n">
        <v>150</v>
      </c>
      <c r="F17" s="36" t="n">
        <v>226.47</v>
      </c>
      <c r="G17" s="36" t="n">
        <v>226.47</v>
      </c>
      <c r="H17" s="36" t="n">
        <v>100</v>
      </c>
      <c r="I17" s="36">
        <f>SUM(E17:H17)</f>
        <v/>
      </c>
      <c r="J17" s="36">
        <f>(150+226.47+226.47+100)-I17</f>
        <v/>
      </c>
      <c r="K17" s="13" t="inlineStr">
        <is>
          <t>Cheque on File</t>
        </is>
      </c>
    </row>
    <row r="18">
      <c r="A18" s="13" t="n">
        <v>14</v>
      </c>
      <c r="B18" s="10" t="inlineStr">
        <is>
          <t>Player 14 Name</t>
        </is>
      </c>
      <c r="C18" s="10" t="inlineStr">
        <is>
          <t>Parent of Player 14</t>
        </is>
      </c>
      <c r="D18" s="10" t="inlineStr">
        <is>
          <t>parent14@example.com</t>
        </is>
      </c>
      <c r="E18" s="36" t="n">
        <v>150</v>
      </c>
      <c r="F18" s="36" t="n">
        <v>226.47</v>
      </c>
      <c r="G18" s="36" t="n">
        <v>226.47</v>
      </c>
      <c r="H18" s="36" t="n">
        <v>100</v>
      </c>
      <c r="I18" s="36">
        <f>SUM(E18:H18)</f>
        <v/>
      </c>
      <c r="J18" s="36">
        <f>(150+226.47+226.47+100)-I18</f>
        <v/>
      </c>
      <c r="K18" s="13" t="inlineStr">
        <is>
          <t>Cheque on File</t>
        </is>
      </c>
    </row>
    <row r="19">
      <c r="A19" s="13" t="n">
        <v>15</v>
      </c>
      <c r="B19" s="10" t="inlineStr">
        <is>
          <t>Player 15 Name</t>
        </is>
      </c>
      <c r="C19" s="10" t="inlineStr">
        <is>
          <t>Parent of Player 15</t>
        </is>
      </c>
      <c r="D19" s="10" t="inlineStr">
        <is>
          <t>parent15@example.com</t>
        </is>
      </c>
      <c r="E19" s="36" t="n">
        <v>150</v>
      </c>
      <c r="F19" s="36" t="n">
        <v>226.47</v>
      </c>
      <c r="G19" s="36" t="n">
        <v>226.47</v>
      </c>
      <c r="H19" s="36" t="n">
        <v>100</v>
      </c>
      <c r="I19" s="36">
        <f>SUM(E19:H19)</f>
        <v/>
      </c>
      <c r="J19" s="36">
        <f>(150+226.47+226.47+100)-I19</f>
        <v/>
      </c>
      <c r="K19" s="13" t="inlineStr">
        <is>
          <t>Cheque on File</t>
        </is>
      </c>
    </row>
    <row r="20">
      <c r="A20" s="13" t="n">
        <v>16</v>
      </c>
      <c r="B20" s="10" t="inlineStr">
        <is>
          <t>Player 16 Name</t>
        </is>
      </c>
      <c r="C20" s="10" t="inlineStr">
        <is>
          <t>Parent of Player 16</t>
        </is>
      </c>
      <c r="D20" s="10" t="inlineStr">
        <is>
          <t>parent16@example.com</t>
        </is>
      </c>
      <c r="E20" s="36" t="n">
        <v>150</v>
      </c>
      <c r="F20" s="36" t="n">
        <v>226.47</v>
      </c>
      <c r="G20" s="36" t="n">
        <v>226.47</v>
      </c>
      <c r="H20" s="36" t="n">
        <v>100</v>
      </c>
      <c r="I20" s="36">
        <f>SUM(E20:H20)</f>
        <v/>
      </c>
      <c r="J20" s="36">
        <f>(150+226.47+226.47+100)-I20</f>
        <v/>
      </c>
      <c r="K20" s="13" t="inlineStr">
        <is>
          <t>Cheque on File</t>
        </is>
      </c>
    </row>
    <row r="21">
      <c r="A21" s="13" t="n">
        <v>17</v>
      </c>
      <c r="B21" s="10" t="inlineStr">
        <is>
          <t>Player 17 Name</t>
        </is>
      </c>
      <c r="C21" s="10" t="inlineStr">
        <is>
          <t>Parent of Player 17</t>
        </is>
      </c>
      <c r="D21" s="10" t="inlineStr">
        <is>
          <t>parent17@example.com</t>
        </is>
      </c>
      <c r="E21" s="36" t="n">
        <v>150</v>
      </c>
      <c r="F21" s="36" t="n">
        <v>226.47</v>
      </c>
      <c r="G21" s="36" t="n">
        <v>226.47</v>
      </c>
      <c r="H21" s="36" t="n">
        <v>100</v>
      </c>
      <c r="I21" s="36">
        <f>SUM(E21:H21)</f>
        <v/>
      </c>
      <c r="J21" s="36">
        <f>(150+226.47+226.47+100)-I21</f>
        <v/>
      </c>
      <c r="K21" s="13" t="inlineStr">
        <is>
          <t>Cheque on File</t>
        </is>
      </c>
    </row>
    <row r="22">
      <c r="A22" s="37" t="inlineStr"/>
      <c r="B22" s="38" t="inlineStr">
        <is>
          <t>TOTALS: ALL 17 PLAYERS</t>
        </is>
      </c>
      <c r="C22" s="37" t="inlineStr"/>
      <c r="D22" s="37" t="inlineStr"/>
      <c r="E22" s="15">
        <f>SUM(E5:E21)</f>
        <v/>
      </c>
      <c r="F22" s="15">
        <f>SUM(F5:F21)</f>
        <v/>
      </c>
      <c r="G22" s="15">
        <f>SUM(G5:G21)</f>
        <v/>
      </c>
      <c r="H22" s="15">
        <f>SUM(H5:H21)</f>
        <v/>
      </c>
      <c r="I22" s="15">
        <f>SUM(I5:I21)</f>
        <v/>
      </c>
      <c r="J22" s="15">
        <f>SUM(J5:J21)</f>
        <v/>
      </c>
      <c r="K22" s="39" t="inlineStr">
        <is>
          <t>17 Players Accounted For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2026-10-08T03:02:15Z</dcterms:created>
  <dcterms:modified xmlns:dcterms="http://purl.org/dc/terms/" xmlns:xsi="http://www.w3.org/2001/XMLSchema-instance" xsi:type="dcterms:W3CDTF">2026-10-08T03:02:15Z</dcterms:modified>
</cp:coreProperties>
</file>