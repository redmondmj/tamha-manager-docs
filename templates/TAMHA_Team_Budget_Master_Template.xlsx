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Summary" sheetId="1" r:id="rId5"/>
    <sheet state="visible" name="Income" sheetId="2" r:id="rId6"/>
    <sheet state="visible" name="Expenses" sheetId="3" r:id="rId7"/>
    <sheet state="visible" name="Bank Rec" sheetId="4" r:id="rId8"/>
    <sheet state="visible" name="Roster &amp; Fee Tracker" sheetId="5" r:id="rId9"/>
  </sheets>
  <definedNames/>
  <calcPr/>
</workbook>
</file>

<file path=xl/sharedStrings.xml><?xml version="1.0" encoding="utf-8"?>
<sst xmlns="http://schemas.openxmlformats.org/spreadsheetml/2006/main" count="575" uniqueCount="450">
  <si>
    <t>TRURO AREA MINOR HOCKEY ASSOCIATION (TAMHA)</t>
  </si>
  <si>
    <t>Official Team Operating Budget &amp; Financial Reporting Ledger (2026–2027 Season)</t>
  </si>
  <si>
    <t>Team Division &amp; Name:</t>
  </si>
  <si>
    <t>[Enter Team Name - e.g., Truro Bearcats U13 A]</t>
  </si>
  <si>
    <t>Team Tier:</t>
  </si>
  <si>
    <t>Rep (AA / A / B)</t>
  </si>
  <si>
    <t>Roster Players:</t>
  </si>
  <si>
    <t>Head Coach:</t>
  </si>
  <si>
    <t>[Head Coach Full Name]</t>
  </si>
  <si>
    <t>Team Manager:</t>
  </si>
  <si>
    <t>[Team Manager Full Name]</t>
  </si>
  <si>
    <t>Team Treasurer:</t>
  </si>
  <si>
    <t>[Team Treasurer Full Name]</t>
  </si>
  <si>
    <t>Mosaik Account #:</t>
  </si>
  <si>
    <t>[Enter 9-Digit Account #]</t>
  </si>
  <si>
    <t>Reporting Stage:</t>
  </si>
  <si>
    <t>Preliminary Budget (Oct 30)</t>
  </si>
  <si>
    <t>Season Status:</t>
  </si>
  <si>
    <t>Active</t>
  </si>
  <si>
    <t>ℹ️ MANAGER INSTRUCTIONS &amp; TAMHA FINANCIAL POLICY FRAMEWORK:
1. Do NOT manually type budget figures into this summary tab! All numbers roll up automatically from the detailed line items entered on the 'Income' and 'Expenses' tabs. Simply enter your team's budget line items on those two tabs.
2. Rep Teams vs. House (C-League): Rep fees are $9,500 total ($4,750 on Nov 30 &amp; $4,750 on Jan 31; AAA is $11,500; House is $0). To avoid sticker shock, note that Rep fees comprehensively include:
   • Mandatory annual sweater/jersey replacement fund (previously billed as a separate $550 charge).
   • Hockey Nova Scotia (HNS) &amp; Conference League scheduling and affiliation fees.
   • Official TAMHA Bearcats game socks (2 pairs per player: Home Crimson &amp; Away White, supplied at equipment pickup).
3. Mandatory TAMHA Financial Policies:
   • Zero Deficit Rule: Teams are not permitted to project or operate at a deficit. Projected revenues must equal or exceed projected expenses.
   • Sponsorships vs. Fundraising: Corporate sponsorships are commercial advertising contributions (must issue official TAMHA commercial receipts, not charitable tax receipts). Fundraising proceeds (50/50, bottle drives) belong to the team/association; surplus fundraising cannot be paid out as personal cash profits to families.
   • Parent Contributions: All parent fee assessments (rep fee installments &amp; cash calls) require a &gt;75% majority vote approval by team families at the initial parent meeting.
   • Jersey Deposits Held in Trust: Mandatory $150 Rep / $50 House deposits must be held in trust (uncashed cheques dated May 15, 2027 or segregated balance) and refunded 100% upon jersey return in April.
4. Optional Tools: Both the 'Bank Rec' and 'Roster &amp; Fee Tracker' tabs are optional team management tools and are NOT required for your official budget submission.</t>
  </si>
  <si>
    <t>1.0 REVENUE SUMMARY (ROLLUP FROM INCOME SHEET)</t>
  </si>
  <si>
    <t>Revenue Category</t>
  </si>
  <si>
    <t>Projected ($)</t>
  </si>
  <si>
    <t>Actual YTD ($)</t>
  </si>
  <si>
    <t>Variance ($)</t>
  </si>
  <si>
    <t>% Achieved</t>
  </si>
  <si>
    <t>Status</t>
  </si>
  <si>
    <t>Notes / Verification</t>
  </si>
  <si>
    <t>1.1 Corporate &amp; Local Sponsorships</t>
  </si>
  <si>
    <t>Team sponsors &amp; banner ads</t>
  </si>
  <si>
    <t>1.2 Team Fundraising Initiatives</t>
  </si>
  <si>
    <t>Bottle drive, 50/50, draws</t>
  </si>
  <si>
    <t>1.3 Parent Fee Contributions (Rep/Team Fees)</t>
  </si>
  <si>
    <t>Per-player installments</t>
  </si>
  <si>
    <t>1.4 Parent Jersey Deposits (Held in Trust)</t>
  </si>
  <si>
    <t>Refunded at end of season</t>
  </si>
  <si>
    <t>1.5 Bank Interest &amp; Miscellaneous Revenue</t>
  </si>
  <si>
    <t>"Balanced"</t>
  </si>
  <si>
    <t>Account interest / other</t>
  </si>
  <si>
    <t>TOTAL PROJECTED &amp; ACTUAL REVENUE</t>
  </si>
  <si>
    <t>Rolls up all 5 income categories</t>
  </si>
  <si>
    <t>2.0 EXPENSE SUMMARY (ROLLUP FROM EXPENSES SHEET)</t>
  </si>
  <si>
    <t>Expense Category</t>
  </si>
  <si>
    <t>% Spent</t>
  </si>
  <si>
    <t>2.1 TAMHA Association &amp; League Fees</t>
  </si>
  <si>
    <t>Rep fees ($9,500 total; includes jersey fund)</t>
  </si>
  <si>
    <t>2.2 Tournaments &amp; Jamborees Entry Fees</t>
  </si>
  <si>
    <t>Tournament registrations</t>
  </si>
  <si>
    <t>2.3 Extra Practice Ice &amp; Game Officials</t>
  </si>
  <si>
    <t>Ice rental, ref &amp; timekeeper fees</t>
  </si>
  <si>
    <t>2.4 Team Apparel, Items &amp; Equipment</t>
  </si>
  <si>
    <t>Practice jerseys, banner, name bars, socks</t>
  </si>
  <si>
    <t>2.5 Team Events &amp; Player Activities</t>
  </si>
  <si>
    <t>Holiday party, year-end banquet, gifts</t>
  </si>
  <si>
    <t>2.6 Operating Costs, Banking &amp; Contingency</t>
  </si>
  <si>
    <t>Mosaik fees, cheques, contingency buffer</t>
  </si>
  <si>
    <t>2.7 Return of Parent Jersey Deposits</t>
  </si>
  <si>
    <t>Refunded to parents upon jersey return</t>
  </si>
  <si>
    <t>TOTAL PROJECTED &amp; ACTUAL EXPENSES</t>
  </si>
  <si>
    <t>Rolls up all 7 expense categories</t>
  </si>
  <si>
    <t>3.0 NET POSITION &amp; PER-PLAYER BREAKDOWN</t>
  </si>
  <si>
    <t>Net Team Cash Position (Revenue - Expenses)</t>
  </si>
  <si>
    <t>Target is balanced ($0.00)</t>
  </si>
  <si>
    <t>Gross Team Operating Cost Per Player</t>
  </si>
  <si>
    <t>Total team cost divided by roster count</t>
  </si>
  <si>
    <t>Team Fundraising &amp; Sponsorship Raised Per Player</t>
  </si>
  <si>
    <t>Subsidized through team sponsors &amp; events</t>
  </si>
  <si>
    <t>Net Parent Out-of-Pocket Cost Per Player</t>
  </si>
  <si>
    <t>Actual parent fee required per family</t>
  </si>
  <si>
    <t>4.0 EXECUTIVE GOVERNANCE &amp; SUBMISSION CHECKLIST</t>
  </si>
  <si>
    <t>Milestone 1: Preliminary Budget presented to Parents &amp; approved (&gt;75% majority vote)</t>
  </si>
  <si>
    <t>October 30, 2026</t>
  </si>
  <si>
    <t>Manager &amp; Treasurer</t>
  </si>
  <si>
    <t>Approved</t>
  </si>
  <si>
    <t>Milestone 2: Preliminary Budget submitted to VP Finance (vpfinance@trurominorhockey.ca)</t>
  </si>
  <si>
    <t>VP Finance (Joe Zappia)</t>
  </si>
  <si>
    <t>Submitted</t>
  </si>
  <si>
    <t>Milestone 3: Mid-Season Financial Statement shared with Parent Group</t>
  </si>
  <si>
    <t>December 31, 2026</t>
  </si>
  <si>
    <t>Parent Group</t>
  </si>
  <si>
    <t>Scheduled</t>
  </si>
  <si>
    <t>Milestone 4: Interim Financial Statement submitted to VP Finance</t>
  </si>
  <si>
    <t>January 15, 2027</t>
  </si>
  <si>
    <t>Milestone 5: Final Year-End Budget &amp; Reconciliation submitted to VP Finance</t>
  </si>
  <si>
    <t>March 31, 2027</t>
  </si>
  <si>
    <t>Milestone 6: Final Financial Statement &amp; Jersey Deposit refunds distributed to Parents</t>
  </si>
  <si>
    <t>April 15, 2027</t>
  </si>
  <si>
    <t>TAMHA TEAM REVENUE &amp; INCOME TRACKER</t>
  </si>
  <si>
    <t>Detail Ledger: Sponsorships, Fundraising, Parent Contributions &amp; Jersey Deposits</t>
  </si>
  <si>
    <t>1.0 SPONSORSHIPS &amp; LOCAL BUSINESS ADVERTISING (TAMHA Policy: Commercial Advertising Receipts Issued — Not Charitable Tax Deductions)</t>
  </si>
  <si>
    <t>Sponsor / Business Name</t>
  </si>
  <si>
    <t>Sponsorship Level</t>
  </si>
  <si>
    <t>Contact Person</t>
  </si>
  <si>
    <t>Payment Method</t>
  </si>
  <si>
    <t>Actual Received ($)</t>
  </si>
  <si>
    <t>Receipt Issued?</t>
  </si>
  <si>
    <t>[Major Team Sponsor - e.g. Local Business]</t>
  </si>
  <si>
    <t>Major ($1,000+)</t>
  </si>
  <si>
    <t>[Contact Name]</t>
  </si>
  <si>
    <t>[Cheque / E-transfer]</t>
  </si>
  <si>
    <t>Pending</t>
  </si>
  <si>
    <t>[Gold Banner Sponsor 1]</t>
  </si>
  <si>
    <t>Gold ($500)</t>
  </si>
  <si>
    <t>[Gold Banner Sponsor 2]</t>
  </si>
  <si>
    <t>[Silver Banner Sponsor 1]</t>
  </si>
  <si>
    <t>Silver ($250)</t>
  </si>
  <si>
    <t>[Silver Banner Sponsor 2]</t>
  </si>
  <si>
    <t>[Silver Banner Sponsor 3]</t>
  </si>
  <si>
    <t>[Bronze Banner Sponsor 1]</t>
  </si>
  <si>
    <t>Bronze ($100)</t>
  </si>
  <si>
    <t>[Bronze Banner Sponsor 2]</t>
  </si>
  <si>
    <t>SUBTOTAL: SPONSORSHIPS</t>
  </si>
  <si>
    <t>2.0 TEAM FUNDRAISING INITIATIVES (TAMHA Policy: Team/Association Property — Surplus Cannot Be Distributed as Cash Payouts to Families)</t>
  </si>
  <si>
    <t>Fundraiser Name / Description</t>
  </si>
  <si>
    <t>Event Date</t>
  </si>
  <si>
    <t>Lead Coordinator</t>
  </si>
  <si>
    <t>Actual Net ($)</t>
  </si>
  <si>
    <t>Status / Notes</t>
  </si>
  <si>
    <t>[Team Bottle Drive - Fall]</t>
  </si>
  <si>
    <t>[Oct 2026]</t>
  </si>
  <si>
    <t>[Parent Volunteer]</t>
  </si>
  <si>
    <t>Planned</t>
  </si>
  <si>
    <t>[50/50 Raffle - e.g. Pot O' Gold]</t>
  </si>
  <si>
    <t>[Nov 2026]</t>
  </si>
  <si>
    <t>[Treasurer]</t>
  </si>
  <si>
    <t>[Ticket Draw / Grand In Your Hand]</t>
  </si>
  <si>
    <t>[Dec 2026]</t>
  </si>
  <si>
    <t>[Manager]</t>
  </si>
  <si>
    <t>[Square Board / Silent Auction]</t>
  </si>
  <si>
    <t>[Feb 2027]</t>
  </si>
  <si>
    <t>[Parent Committee]</t>
  </si>
  <si>
    <t>[Optional Fundraiser 5]</t>
  </si>
  <si>
    <t>[TBD]</t>
  </si>
  <si>
    <t>[Volunteer]</t>
  </si>
  <si>
    <t>Optional</t>
  </si>
  <si>
    <t>SUBTOTAL: FUNDRAISING</t>
  </si>
  <si>
    <t>3.0 PARENT CONTRIBUTIONS &amp; TEAM FEES (TAMHA Policy: Mandatory &gt;75% Majority Parent Vote Approval Required)</t>
  </si>
  <si>
    <t>Fee Description</t>
  </si>
  <si>
    <t>Per Player ($)</t>
  </si>
  <si>
    <t>Roster Size</t>
  </si>
  <si>
    <t>Projected Total ($)</t>
  </si>
  <si>
    <t>Actual Collected ($)</t>
  </si>
  <si>
    <t>Due Date / Installment</t>
  </si>
  <si>
    <t>Rep Fee Contribution - Installment 1 (Nov)</t>
  </si>
  <si>
    <t>November 15, 2026</t>
  </si>
  <si>
    <t>Rep Fee Contribution - Installment 2 (Jan)</t>
  </si>
  <si>
    <t>January 31, 2027</t>
  </si>
  <si>
    <t>Team Operational Cash Call (Apparel / Extras)</t>
  </si>
  <si>
    <t>December 1, 2026</t>
  </si>
  <si>
    <t>Optional Tournament / Extra Ice Cash Call</t>
  </si>
  <si>
    <t>As needed</t>
  </si>
  <si>
    <t>SUBTOTAL: PARENT CONTRIBUTIONS</t>
  </si>
  <si>
    <t>4.0 PARENT JERSEY DEPOSITS (HELD IN TRUST — Strict Policy: Liability Funds Only; Never Spent on Operations; 100% Refundable)</t>
  </si>
  <si>
    <t>Deposit Type</t>
  </si>
  <si>
    <t>Deposit / Player</t>
  </si>
  <si>
    <t>Method</t>
  </si>
  <si>
    <t>Policy Rule</t>
  </si>
  <si>
    <t>Rep Team Jersey Deposit ($150 / player)</t>
  </si>
  <si>
    <t>Post-dated cheque / E-transfer</t>
  </si>
  <si>
    <t>Mandatory $150 Rep / $50 House</t>
  </si>
  <si>
    <t>Uncashed Cheques Held in Safe Keeping</t>
  </si>
  <si>
    <t>Cheques dated May 15, 2027</t>
  </si>
  <si>
    <t>Returned or destroyed upon jersey return</t>
  </si>
  <si>
    <t>SUBTOTAL: JERSEY DEPOSITS HELD</t>
  </si>
  <si>
    <t>5.0 BANK INTEREST &amp; MISCELLANEOUS REVENUE</t>
  </si>
  <si>
    <t>Mosaik Credit Union Account Interest</t>
  </si>
  <si>
    <t>Credit Union operating account interest</t>
  </si>
  <si>
    <t>SUBTOTAL: MISCELLANEOUS REVENUE</t>
  </si>
  <si>
    <t>TOTAL TEAM REVENUE (ALL 5 CATEGORIES)</t>
  </si>
  <si>
    <t>TAMHA TEAM EXPENSE &amp; OPERATING COST LEDGER</t>
  </si>
  <si>
    <t>Detail Ledger: Association Fees, Tournaments, Ice/Officials, Apparel, Activities &amp; Banking</t>
  </si>
  <si>
    <t>1.0 TAMHA ASSOCIATION &amp; LEAGUE FEES</t>
  </si>
  <si>
    <t>Payment Due Date</t>
  </si>
  <si>
    <t>Category</t>
  </si>
  <si>
    <t>Actual Paid ($)</t>
  </si>
  <si>
    <t>Notes / Invoices</t>
  </si>
  <si>
    <t>TAMHA Rep Fees - Installment 1 (50%)</t>
  </si>
  <si>
    <t>Cheque / E-transfer</t>
  </si>
  <si>
    <t>Mandatory</t>
  </si>
  <si>
    <t>Official association invoice (includes jersey fund)</t>
  </si>
  <si>
    <t>TAMHA Rep Fees - Installment 2 (50%)</t>
  </si>
  <si>
    <t>Jan 31, 2027</t>
  </si>
  <si>
    <t>TAMHA Mandatory Sweater / Jersey Fund</t>
  </si>
  <si>
    <t>Included in Rep Fee</t>
  </si>
  <si>
    <t>Included</t>
  </si>
  <si>
    <t>Included in $9,500 Rep Fee total (no separate $550 payment required)</t>
  </si>
  <si>
    <t>HNS &amp; Conference League Scheduling Fees</t>
  </si>
  <si>
    <t>Included in $9,500 Rep Fee total (covered under association league registration)</t>
  </si>
  <si>
    <t>League / Regional Playoff Assessment Fees</t>
  </si>
  <si>
    <t>Included in $9,500 Rep Fee total / covered by association</t>
  </si>
  <si>
    <t>SUBTOTAL: TAMHA &amp; LEAGUE FEES</t>
  </si>
  <si>
    <t>2.0 TOURNAMENTS &amp; JAMBOREES</t>
  </si>
  <si>
    <t>Tournament Name</t>
  </si>
  <si>
    <t>Tournament Dates</t>
  </si>
  <si>
    <t>Location</t>
  </si>
  <si>
    <t>Permit Status</t>
  </si>
  <si>
    <t>Notes / Travel Permits</t>
  </si>
  <si>
    <t>Tournament 1: [Early Bird / Pre-Season Event]</t>
  </si>
  <si>
    <t>Nov 2026</t>
  </si>
  <si>
    <t>[Host Town, NS]</t>
  </si>
  <si>
    <t>Sanctioned</t>
  </si>
  <si>
    <t>Early season tournament</t>
  </si>
  <si>
    <t>Tournament 2: [Holiday / Winter Invitational]</t>
  </si>
  <si>
    <t>Dec 2026</t>
  </si>
  <si>
    <t>Holiday event</t>
  </si>
  <si>
    <t>Tournament 3: [SEDMHA / March Tournament]</t>
  </si>
  <si>
    <t>Mar 2027</t>
  </si>
  <si>
    <t>Halifax / Dartmouth</t>
  </si>
  <si>
    <t>Major spring tournament</t>
  </si>
  <si>
    <t>Tournament 4: [Away / Travel Tournament]</t>
  </si>
  <si>
    <t>[PEI / NB / Local]</t>
  </si>
  <si>
    <t>Travel permit required</t>
  </si>
  <si>
    <t>SUBTOTAL: TOURNAMENTS</t>
  </si>
  <si>
    <t>3.0 EXTRA PRACTICE ICE &amp; GAME OFFICIALS</t>
  </si>
  <si>
    <t>Ice / Official Item</t>
  </si>
  <si>
    <t>Rate &amp; Quantity</t>
  </si>
  <si>
    <t>Facility / Venue</t>
  </si>
  <si>
    <t>Event Type</t>
  </si>
  <si>
    <t>Additional Practice Ice (Full Ice)</t>
  </si>
  <si>
    <t>6 Hours @ $165/hr</t>
  </si>
  <si>
    <t>Local Rink / RECC</t>
  </si>
  <si>
    <t>Pre-Season / Practice</t>
  </si>
  <si>
    <t>Extra team development ice</t>
  </si>
  <si>
    <t>Exhibition Game Ice Rental</t>
  </si>
  <si>
    <t>2 Games @ $258/game</t>
  </si>
  <si>
    <t>Home Rink</t>
  </si>
  <si>
    <t>Exhibition</t>
  </si>
  <si>
    <t>Home exhibition game slots</t>
  </si>
  <si>
    <t>Referee &amp; Linesmen Official Fees</t>
  </si>
  <si>
    <t>2 Games @ $90/game</t>
  </si>
  <si>
    <t>HNS Certified Officials</t>
  </si>
  <si>
    <t>Cash payout for officials</t>
  </si>
  <si>
    <t>Timekeeper &amp; Scorekeeper Fees</t>
  </si>
  <si>
    <t>2 Games @ $30/game</t>
  </si>
  <si>
    <t>Timekeeper Association</t>
  </si>
  <si>
    <t>Clock / game sheet operator</t>
  </si>
  <si>
    <t>SUBTOTAL: EXTRA ICE &amp; OFFICIALS</t>
  </si>
  <si>
    <t>4.0 TEAM APPAREL, GEAR &amp; ITEMS</t>
  </si>
  <si>
    <t>Item Description</t>
  </si>
  <si>
    <t>Quantity &amp; Pricing</t>
  </si>
  <si>
    <t>Vendor / Supplier</t>
  </si>
  <si>
    <t>Usage</t>
  </si>
  <si>
    <t>Notes / Receipts</t>
  </si>
  <si>
    <t>Practice Jerseys (Forward &amp; Defence Colours)</t>
  </si>
  <si>
    <t>2 Team Sets (Dark / Light)</t>
  </si>
  <si>
    <t>Apparel Vendor</t>
  </si>
  <si>
    <t>Team Property</t>
  </si>
  <si>
    <t>Kept by team / passed down (used for practice drills &amp; intra-squad scrimmage)</t>
  </si>
  <si>
    <t>Sponsor Display Banner (Printed)</t>
  </si>
  <si>
    <t>Arena Display Banner</t>
  </si>
  <si>
    <t>Local Print Shop</t>
  </si>
  <si>
    <t>Sponsor Value</t>
  </si>
  <si>
    <t>Displays sponsor logos at arena</t>
  </si>
  <si>
    <t>Sponsor Bars / Player Name Bars &amp; Sewing</t>
  </si>
  <si>
    <t>17 Players</t>
  </si>
  <si>
    <t>Sewing Specialist</t>
  </si>
  <si>
    <t>Player Apparel</t>
  </si>
  <si>
    <t>Custom name bars sewn on game jerseys</t>
  </si>
  <si>
    <t>Team Game Socks (Home &amp; Away - 2 Pairs/Player)</t>
  </si>
  <si>
    <t>17 Players @ 2 pairs (Supplied by TAMHA)</t>
  </si>
  <si>
    <t>TAMHA Equipment Manager</t>
  </si>
  <si>
    <t>Included in $9,500 Rep Fee (official Bearcats crimson &amp; white socks supplied at equipment pickup)</t>
  </si>
  <si>
    <t>Team First Aid Kit &amp; Safety Supplies</t>
  </si>
  <si>
    <t>Full Season Kit</t>
  </si>
  <si>
    <t>Local Pharmacy / Sport</t>
  </si>
  <si>
    <t>Safety Person</t>
  </si>
  <si>
    <t>Required for every team bench</t>
  </si>
  <si>
    <t>Practice Pucks, Cones, Whiteboard</t>
  </si>
  <si>
    <t>Puck bag &amp; coaching items</t>
  </si>
  <si>
    <t>Sporting Goods</t>
  </si>
  <si>
    <t>Coaching Staff</t>
  </si>
  <si>
    <t>Team practice equipment</t>
  </si>
  <si>
    <t>SUBTOTAL: APPAREL &amp; TEAM ITEMS</t>
  </si>
  <si>
    <t>5.0 TEAM ACTIVITIES &amp; PLAYER EVENTS</t>
  </si>
  <si>
    <t>Activity / Event Name</t>
  </si>
  <si>
    <t>Date / Frequency</t>
  </si>
  <si>
    <t>Location / Details</t>
  </si>
  <si>
    <t>Participants</t>
  </si>
  <si>
    <t>Holiday / Christmas Family Team Party</t>
  </si>
  <si>
    <t>Local Venue / Rink</t>
  </si>
  <si>
    <t>All Families</t>
  </si>
  <si>
    <t>Food, activities, gifts</t>
  </si>
  <si>
    <t>Year-End Team Party &amp; Banquet</t>
  </si>
  <si>
    <t>Apr 2027</t>
  </si>
  <si>
    <t>Local Restaurant / Hall</t>
  </si>
  <si>
    <t>Awards, meal, celebration</t>
  </si>
  <si>
    <t>Team Away Game Snacks &amp; Nutrition</t>
  </si>
  <si>
    <t>Full Season</t>
  </si>
  <si>
    <t>Grocery / Wholesale</t>
  </si>
  <si>
    <t>Player Health</t>
  </si>
  <si>
    <t>Fruit, granola bars, electrolytes</t>
  </si>
  <si>
    <t>Coaching Staff Appreciation Gifts</t>
  </si>
  <si>
    <t>Head Coach &amp; Bench Staff</t>
  </si>
  <si>
    <t>Local Retailer</t>
  </si>
  <si>
    <t>Volunteer Recognition</t>
  </si>
  <si>
    <t>End-of-year volunteer gifts</t>
  </si>
  <si>
    <t>SUBTOTAL: TEAM ACTIVITIES</t>
  </si>
  <si>
    <t>6.0 OPERATING COSTS, BANKING &amp; CONTINGENCY (TAMHA Policy: Mosaik Credit Union Accounts Only — Personal Accounts Strictly Prohibited)</t>
  </si>
  <si>
    <t>Operational Item</t>
  </si>
  <si>
    <t>Calculation Basis</t>
  </si>
  <si>
    <t>Provider</t>
  </si>
  <si>
    <t>Mosaik Credit Union Account / Service Fee</t>
  </si>
  <si>
    <t>Annual / Flat Account Fee</t>
  </si>
  <si>
    <t>Mosaik Truro Branch</t>
  </si>
  <si>
    <t>Banking</t>
  </si>
  <si>
    <t>Annual credit union community account fee</t>
  </si>
  <si>
    <t>[Optional Operational / Administration Expense]</t>
  </si>
  <si>
    <t>Local Vendor</t>
  </si>
  <si>
    <t>Optional placeholder for team administrative costs</t>
  </si>
  <si>
    <t>Emergency Contingency Fund (Unexpected Ice/Playoffs)</t>
  </si>
  <si>
    <t>Season Buffer</t>
  </si>
  <si>
    <t>Held in Account</t>
  </si>
  <si>
    <t>Buffer</t>
  </si>
  <si>
    <t>Safety margin for unexpected costs (balances preliminary budget to $0.00)</t>
  </si>
  <si>
    <t>SUBTOTAL: OPERATING &amp; BANKING</t>
  </si>
  <si>
    <t>7.0 PARENT JERSEY DEPOSIT REFUNDS</t>
  </si>
  <si>
    <t>Refund Description</t>
  </si>
  <si>
    <t>Quantity &amp; Basis</t>
  </si>
  <si>
    <t>Target Date</t>
  </si>
  <si>
    <t>Return of Parent Jersey Deposits (100% Refund)</t>
  </si>
  <si>
    <t>17 Players @ $150</t>
  </si>
  <si>
    <t>End of Season (Apr 2027)</t>
  </si>
  <si>
    <t>Trust Return</t>
  </si>
  <si>
    <t>Refunded in full upon jersey return</t>
  </si>
  <si>
    <t>SUBTOTAL: JERSEY DEPOSIT REFUNDS</t>
  </si>
  <si>
    <t>TOTAL TEAM EXPENSES (ALL 7 CATEGORIES)</t>
  </si>
  <si>
    <t>MOSAIK CREDIT UNION - MONTHLY BANK RECONCILIATION</t>
  </si>
  <si>
    <t>Reconciles Bank Statement Balance Against Team Budget Cash Position</t>
  </si>
  <si>
    <t>ℹ️ OPTIONAL TOOL: This reconciliation ledger is provided for team convenience and is NOT required for your official TAMHA budget submission.</t>
  </si>
  <si>
    <t>Team Name:</t>
  </si>
  <si>
    <t>Statement Date:</t>
  </si>
  <si>
    <t>[Enter Statement Date - e.g. Oct 31, 2026]</t>
  </si>
  <si>
    <t>Reconciled By:</t>
  </si>
  <si>
    <t>1. Ending Balance per Mosaik Bank Statement</t>
  </si>
  <si>
    <t>2. ADD: Outstanding Deposits (Recorded in ledger, not yet cleared on bank statement)</t>
  </si>
  <si>
    <t>Deposit Description</t>
  </si>
  <si>
    <t>Date Received</t>
  </si>
  <si>
    <t>Payer / Source</t>
  </si>
  <si>
    <t>Amount ($)</t>
  </si>
  <si>
    <t>Notes</t>
  </si>
  <si>
    <t>[Deposit 1 Description]</t>
  </si>
  <si>
    <t>[Date]</t>
  </si>
  <si>
    <t>[Source / Payer]</t>
  </si>
  <si>
    <t>[Method]</t>
  </si>
  <si>
    <t>[Pending clearance]</t>
  </si>
  <si>
    <t>[Deposit 2 Description]</t>
  </si>
  <si>
    <t>[Deposit 3 Description]</t>
  </si>
  <si>
    <t>TOTAL OUTSTANDING DEPOSITS</t>
  </si>
  <si>
    <t>3. LESS: Outstanding Withdrawals &amp; Cheques (Issued in ledger, not yet cashed)</t>
  </si>
  <si>
    <t>Cheque # / Transaction</t>
  </si>
  <si>
    <t>Date Issued</t>
  </si>
  <si>
    <t>Payee / Vendor</t>
  </si>
  <si>
    <t>Description</t>
  </si>
  <si>
    <t>[Cheque #101]</t>
  </si>
  <si>
    <t>[Payee / Vendor]</t>
  </si>
  <si>
    <t>[Description / Purpose]</t>
  </si>
  <si>
    <t>Issued, not yet cashed</t>
  </si>
  <si>
    <t>[Cheque #102]</t>
  </si>
  <si>
    <t>[Cheque #103]</t>
  </si>
  <si>
    <t>TOTAL OUTSTANDING WITHDRAWALS</t>
  </si>
  <si>
    <t>4. ADJUSTED BANK BALANCE (Bank Balance + Deposits - Withdrawals)</t>
  </si>
  <si>
    <t>5. BOOK BALANCE PER TEAM BUDGET (Actual Revenue YTD - Actual Expenses YTD)</t>
  </si>
  <si>
    <t>6. UNRECONCILED VARIANCE / DIFFERENCE (Must equal $0.00)</t>
  </si>
  <si>
    <t>INDIVIDUAL PLAYER FEE &amp; JERSEY DEPOSIT TRACKING LEDGER</t>
  </si>
  <si>
    <t>Tracks Parent Payments, Jersey Deposit Cheques, Fundraising Quotas &amp; Refund Approvals</t>
  </si>
  <si>
    <t>ℹ️ OPTIONAL TOOL: This roster and fee ledger is provided for team tracking and is NOT required for your official TAMHA budget submission.</t>
  </si>
  <si>
    <t>Jersey #</t>
  </si>
  <si>
    <t>Player Legal Name</t>
  </si>
  <si>
    <t>Parent / Guardian Contact</t>
  </si>
  <si>
    <t>Parent Email</t>
  </si>
  <si>
    <t>Jersey Deposit ($150)</t>
  </si>
  <si>
    <t>Rep Fee Installment 1</t>
  </si>
  <si>
    <t>Rep Fee Installment 2</t>
  </si>
  <si>
    <t>Team Fee / Cash Call ($100)</t>
  </si>
  <si>
    <t>Total Paid ($)</t>
  </si>
  <si>
    <t>Balance Due ($)</t>
  </si>
  <si>
    <t>Jersey Returned &amp; Deposit Cleared?</t>
  </si>
  <si>
    <t>#01</t>
  </si>
  <si>
    <t>[Player 01 Legal Name]</t>
  </si>
  <si>
    <t>[Parent / Guardian of Player 01]</t>
  </si>
  <si>
    <t>[parent01@example.com]</t>
  </si>
  <si>
    <t>#02</t>
  </si>
  <si>
    <t>[Player 02 Legal Name]</t>
  </si>
  <si>
    <t>[Parent / Guardian of Player 02]</t>
  </si>
  <si>
    <t>[parent02@example.com]</t>
  </si>
  <si>
    <t>#03</t>
  </si>
  <si>
    <t>[Player 03 Legal Name]</t>
  </si>
  <si>
    <t>[Parent / Guardian of Player 03]</t>
  </si>
  <si>
    <t>[parent03@example.com]</t>
  </si>
  <si>
    <t>#04</t>
  </si>
  <si>
    <t>[Player 04 Legal Name]</t>
  </si>
  <si>
    <t>[Parent / Guardian of Player 04]</t>
  </si>
  <si>
    <t>[parent04@example.com]</t>
  </si>
  <si>
    <t>#05</t>
  </si>
  <si>
    <t>[Player 05 Legal Name]</t>
  </si>
  <si>
    <t>[Parent / Guardian of Player 05]</t>
  </si>
  <si>
    <t>[parent05@example.com]</t>
  </si>
  <si>
    <t>#06</t>
  </si>
  <si>
    <t>[Player 06 Legal Name]</t>
  </si>
  <si>
    <t>[Parent / Guardian of Player 06]</t>
  </si>
  <si>
    <t>[parent06@example.com]</t>
  </si>
  <si>
    <t>#07</t>
  </si>
  <si>
    <t>[Player 07 Legal Name]</t>
  </si>
  <si>
    <t>[Parent / Guardian of Player 07]</t>
  </si>
  <si>
    <t>[parent07@example.com]</t>
  </si>
  <si>
    <t>#08</t>
  </si>
  <si>
    <t>[Player 08 Legal Name]</t>
  </si>
  <si>
    <t>[Parent / Guardian of Player 08]</t>
  </si>
  <si>
    <t>[parent08@example.com]</t>
  </si>
  <si>
    <t>#09</t>
  </si>
  <si>
    <t>[Player 09 Legal Name]</t>
  </si>
  <si>
    <t>[Parent / Guardian of Player 09]</t>
  </si>
  <si>
    <t>[parent09@example.com]</t>
  </si>
  <si>
    <t>#10</t>
  </si>
  <si>
    <t>[Player 10 Legal Name]</t>
  </si>
  <si>
    <t>[Parent / Guardian of Player 10]</t>
  </si>
  <si>
    <t>[parent10@example.com]</t>
  </si>
  <si>
    <t>#11</t>
  </si>
  <si>
    <t>[Player 11 Legal Name]</t>
  </si>
  <si>
    <t>[Parent / Guardian of Player 11]</t>
  </si>
  <si>
    <t>[parent11@example.com]</t>
  </si>
  <si>
    <t>#12</t>
  </si>
  <si>
    <t>[Player 12 Legal Name]</t>
  </si>
  <si>
    <t>[Parent / Guardian of Player 12]</t>
  </si>
  <si>
    <t>[parent12@example.com]</t>
  </si>
  <si>
    <t>#13</t>
  </si>
  <si>
    <t>[Player 13 Legal Name]</t>
  </si>
  <si>
    <t>[Parent / Guardian of Player 13]</t>
  </si>
  <si>
    <t>[parent13@example.com]</t>
  </si>
  <si>
    <t>#14</t>
  </si>
  <si>
    <t>[Player 14 Legal Name]</t>
  </si>
  <si>
    <t>[Parent / Guardian of Player 14]</t>
  </si>
  <si>
    <t>[parent14@example.com]</t>
  </si>
  <si>
    <t>#15</t>
  </si>
  <si>
    <t>[Player 15 Legal Name]</t>
  </si>
  <si>
    <t>[Parent / Guardian of Player 15]</t>
  </si>
  <si>
    <t>[parent15@example.com]</t>
  </si>
  <si>
    <t>#16</t>
  </si>
  <si>
    <t>[Player 16 Legal Name]</t>
  </si>
  <si>
    <t>[Parent / Guardian of Player 16]</t>
  </si>
  <si>
    <t>[parent16@example.com]</t>
  </si>
  <si>
    <t>#17</t>
  </si>
  <si>
    <t>[Player 17 Legal Name]</t>
  </si>
  <si>
    <t>[Parent / Guardian of Player 17]</t>
  </si>
  <si>
    <t>[parent17@example.com]</t>
  </si>
  <si>
    <t>#18</t>
  </si>
  <si>
    <t>#19</t>
  </si>
  <si>
    <t>#20</t>
  </si>
  <si>
    <t>#21</t>
  </si>
  <si>
    <t>TOTALS: ACTIVE ROSTER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</si>
</sst>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mmm d, yyyy"/>
  </numFmts>
  <fonts count="10">
    <font>
      <sz val="11.0"/>
      <color theme="1"/>
      <name val="Calibri"/>
      <scheme val="minor"/>
    </font>
    <font>
      <b/>
      <sz val="16.0"/>
      <color rgb="FFFFFFFF"/>
      <name val="Calibri"/>
    </font>
    <font/>
    <font>
      <i/>
      <sz val="10.0"/>
      <color rgb="FFF8FAFC"/>
      <name val="Calibri"/>
    </font>
    <font>
      <b/>
      <sz val="10.0"/>
      <color rgb="FF1E293B"/>
      <name val="Calibri"/>
    </font>
    <font>
      <sz val="10.0"/>
      <color rgb="FF0F172A"/>
      <name val="Calibri"/>
    </font>
    <font>
      <b/>
      <i/>
      <sz val="10.0"/>
      <color rgb="FF1E3A8A"/>
      <name val="Calibri"/>
    </font>
    <font>
      <b/>
      <sz val="11.0"/>
      <color rgb="FFFFFFFF"/>
      <name val="Calibri"/>
    </font>
    <font>
      <sz val="11.0"/>
      <color theme="1"/>
      <name val="Calibri"/>
    </font>
    <font>
      <b/>
      <sz val="14.0"/>
      <color rgb="FF1E293B"/>
      <name val="Calibri"/>
    </font>
  </fonts>
  <fills count="10">
    <fill>
      <patternFill patternType="none"/>
    </fill>
    <fill>
      <patternFill patternType="lightGray"/>
    </fill>
    <fill>
      <patternFill patternType="solid">
        <fgColor rgb="FFC8102E"/>
        <bgColor rgb="FFC8102E"/>
      </patternFill>
    </fill>
    <fill>
      <patternFill patternType="solid">
        <fgColor rgb="FFE2E8F0"/>
        <bgColor rgb="FFE2E8F0"/>
      </patternFill>
    </fill>
    <fill>
      <patternFill patternType="solid">
        <fgColor rgb="FFF0F9FF"/>
        <bgColor rgb="FFF0F9FF"/>
      </patternFill>
    </fill>
    <fill>
      <patternFill patternType="solid">
        <fgColor rgb="FFEFF6FF"/>
        <bgColor rgb="FFEFF6FF"/>
      </patternFill>
    </fill>
    <fill>
      <patternFill patternType="solid">
        <fgColor rgb="FF334155"/>
        <bgColor rgb="FF334155"/>
      </patternFill>
    </fill>
    <fill>
      <patternFill patternType="solid">
        <fgColor rgb="FFF8FAFC"/>
        <bgColor rgb="FFF8FAFC"/>
      </patternFill>
    </fill>
    <fill>
      <patternFill patternType="solid">
        <fgColor rgb="FFDCFCE7"/>
        <bgColor rgb="FFDCFCE7"/>
      </patternFill>
    </fill>
    <fill>
      <patternFill patternType="solid">
        <fgColor rgb="FFFEF3C7"/>
        <bgColor rgb="FFFEF3C7"/>
      </patternFill>
    </fill>
  </fills>
  <borders count="24">
    <border/>
    <border>
      <left/>
      <top/>
      <bottom/>
    </border>
    <border>
      <top/>
      <bottom/>
    </border>
    <border>
      <right/>
      <top/>
      <bottom/>
    </border>
    <border>
      <left style="thin">
        <color rgb="FFCBD5E1"/>
      </left>
      <right style="thin">
        <color rgb="FFCBD5E1"/>
      </right>
      <top style="thin">
        <color rgb="FFCBD5E1"/>
      </top>
      <bottom style="thin">
        <color rgb="FFCBD5E1"/>
      </bottom>
    </border>
    <border>
      <left style="medium">
        <color rgb="FF3B82F6"/>
      </left>
      <top style="thin">
        <color rgb="FFBFDBFE"/>
      </top>
    </border>
    <border>
      <top style="thin">
        <color rgb="FFBFDBFE"/>
      </top>
    </border>
    <border>
      <right style="thin">
        <color rgb="FFBFDBFE"/>
      </right>
      <top style="thin">
        <color rgb="FFBFDBFE"/>
      </top>
    </border>
    <border>
      <left style="medium">
        <color rgb="FF3B82F6"/>
      </left>
    </border>
    <border>
      <right style="thin">
        <color rgb="FFBFDBFE"/>
      </right>
    </border>
    <border>
      <left style="medium">
        <color rgb="FF3B82F6"/>
      </left>
      <bottom style="thin">
        <color rgb="FFBFDBFE"/>
      </bottom>
    </border>
    <border>
      <bottom style="thin">
        <color rgb="FFBFDBFE"/>
      </bottom>
    </border>
    <border>
      <right style="thin">
        <color rgb="FFBFDBFE"/>
      </right>
      <bottom style="thin">
        <color rgb="FFBFDBFE"/>
      </bottom>
    </border>
    <border>
      <left style="thin">
        <color rgb="FFCBD5E1"/>
      </left>
      <right style="thin">
        <color rgb="FFCBD5E1"/>
      </right>
      <top style="medium">
        <color rgb="FF1E293B"/>
      </top>
      <bottom style="medium">
        <color rgb="FF1E293B"/>
      </bottom>
    </border>
    <border>
      <left style="thin">
        <color rgb="FFCBD5E1"/>
      </left>
      <right style="thin">
        <color rgb="FFCBD5E1"/>
      </right>
      <top style="thin">
        <color rgb="FFCBD5E1"/>
      </top>
      <bottom style="double">
        <color rgb="FF1E293B"/>
      </bottom>
    </border>
    <border>
      <left style="thin">
        <color rgb="FFCBD5E1"/>
      </left>
      <top style="thin">
        <color rgb="FFCBD5E1"/>
      </top>
      <bottom style="double">
        <color rgb="FF1E293B"/>
      </bottom>
    </border>
    <border>
      <top style="thin">
        <color rgb="FFCBD5E1"/>
      </top>
      <bottom style="double">
        <color rgb="FF1E293B"/>
      </bottom>
    </border>
    <border>
      <right style="thin">
        <color rgb="FFCBD5E1"/>
      </right>
      <top style="thin">
        <color rgb="FFCBD5E1"/>
      </top>
      <bottom style="double">
        <color rgb="FF1E293B"/>
      </bottom>
    </border>
    <border>
      <left style="medium">
        <color rgb="FF3B82F6"/>
      </left>
      <top style="thin">
        <color rgb="FFBFDBFE"/>
      </top>
      <bottom style="thin">
        <color rgb="FFBFDBFE"/>
      </bottom>
    </border>
    <border>
      <top style="thin">
        <color rgb="FFBFDBFE"/>
      </top>
      <bottom style="thin">
        <color rgb="FFBFDBFE"/>
      </bottom>
    </border>
    <border>
      <right style="thin">
        <color rgb="FFBFDBFE"/>
      </right>
      <top style="thin">
        <color rgb="FFBFDBFE"/>
      </top>
      <bottom style="thin">
        <color rgb="FFBFDBFE"/>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2" fontId="3" numFmtId="0" xfId="0" applyAlignment="1" applyBorder="1" applyFill="1" applyFont="1">
      <alignment horizontal="center" vertical="center"/>
    </xf>
    <xf borderId="4" fillId="3" fontId="4" numFmtId="0" xfId="0" applyBorder="1" applyFill="1" applyFont="1"/>
    <xf borderId="4" fillId="4" fontId="5" numFmtId="0" xfId="0" applyBorder="1" applyFill="1" applyFont="1"/>
    <xf borderId="4" fillId="4" fontId="5" numFmtId="0" xfId="0" applyAlignment="1" applyBorder="1" applyFill="1" applyFont="1">
      <alignment horizontal="center" vertical="center"/>
    </xf>
    <xf borderId="5" fillId="5" fontId="6" numFmtId="0" xfId="0" applyAlignment="1" applyBorder="1" applyFill="1" applyFont="1">
      <alignment horizontal="left" readingOrder="0"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 fillId="6" fontId="7" numFmtId="0" xfId="0" applyAlignment="1" applyBorder="1" applyFill="1" applyFont="1">
      <alignment horizontal="left" vertical="center"/>
    </xf>
    <xf borderId="13" fillId="3" fontId="4" numFmtId="0" xfId="0" applyAlignment="1" applyBorder="1" applyFill="1" applyFont="1">
      <alignment horizontal="left" vertical="center"/>
    </xf>
    <xf borderId="13" fillId="3" fontId="4" numFmtId="0" xfId="0" applyAlignment="1" applyBorder="1" applyFill="1" applyFont="1">
      <alignment horizontal="right" vertical="center"/>
    </xf>
    <xf borderId="13" fillId="3" fontId="4" numFmtId="0" xfId="0" applyAlignment="1" applyBorder="1" applyFill="1" applyFont="1">
      <alignment horizontal="center" vertical="center"/>
    </xf>
    <xf borderId="4" fillId="0" fontId="5" numFmtId="0" xfId="0" applyAlignment="1" applyBorder="1" applyFont="1">
      <alignment horizontal="left" vertical="center"/>
    </xf>
    <xf borderId="4" fillId="0" fontId="5" numFmtId="164" xfId="0" applyAlignment="1" applyBorder="1" applyFont="1" applyNumberFormat="1">
      <alignment horizontal="right" vertical="center"/>
    </xf>
    <xf borderId="4" fillId="0" fontId="5" numFmtId="165" xfId="0" applyAlignment="1" applyBorder="1" applyFont="1" applyNumberFormat="1">
      <alignment horizontal="center" vertical="center"/>
    </xf>
    <xf borderId="4" fillId="0" fontId="5" numFmtId="0" xfId="0" applyAlignment="1" applyBorder="1" applyFont="1">
      <alignment horizontal="center" vertical="center"/>
    </xf>
    <xf borderId="14" fillId="7" fontId="4" numFmtId="0" xfId="0" applyBorder="1" applyFill="1" applyFont="1"/>
    <xf borderId="14" fillId="7" fontId="4" numFmtId="164" xfId="0" applyAlignment="1" applyBorder="1" applyFill="1" applyFont="1" applyNumberFormat="1">
      <alignment horizontal="right" vertical="center"/>
    </xf>
    <xf borderId="14" fillId="7" fontId="4" numFmtId="165" xfId="0" applyAlignment="1" applyBorder="1" applyFill="1" applyFont="1" applyNumberFormat="1">
      <alignment horizontal="center" vertical="center"/>
    </xf>
    <xf borderId="14" fillId="7" fontId="4" numFmtId="0" xfId="0" applyAlignment="1" applyBorder="1" applyFill="1" applyFont="1">
      <alignment horizontal="center" vertical="center"/>
    </xf>
    <xf borderId="1" fillId="6" fontId="7" numFmtId="0" xfId="0" applyBorder="1" applyFill="1" applyFont="1"/>
    <xf borderId="4" fillId="8" fontId="4" numFmtId="0" xfId="0" applyAlignment="1" applyBorder="1" applyFill="1" applyFont="1">
      <alignment horizontal="left" vertical="center"/>
    </xf>
    <xf borderId="4" fillId="8" fontId="4" numFmtId="164" xfId="0" applyAlignment="1" applyBorder="1" applyFill="1" applyFont="1" applyNumberFormat="1">
      <alignment horizontal="right" vertical="center"/>
    </xf>
    <xf borderId="4" fillId="8" fontId="4" numFmtId="0" xfId="0" applyAlignment="1" applyBorder="1" applyFill="1" applyFont="1">
      <alignment horizontal="center" vertical="center"/>
    </xf>
    <xf borderId="4" fillId="0" fontId="4" numFmtId="0" xfId="0" applyAlignment="1" applyBorder="1" applyFont="1">
      <alignment horizontal="left" vertical="center"/>
    </xf>
    <xf borderId="4" fillId="0" fontId="4" numFmtId="164" xfId="0" applyAlignment="1" applyBorder="1" applyFont="1" applyNumberFormat="1">
      <alignment horizontal="right" vertical="center"/>
    </xf>
    <xf borderId="4" fillId="0" fontId="4" numFmtId="0" xfId="0" applyAlignment="1" applyBorder="1" applyFont="1">
      <alignment horizontal="center" vertical="center"/>
    </xf>
    <xf borderId="4" fillId="0" fontId="5" numFmtId="0" xfId="0" applyBorder="1" applyFont="1"/>
    <xf borderId="1" fillId="6" fontId="7" numFmtId="0" xfId="0" applyAlignment="1" applyBorder="1" applyFill="1" applyFont="1">
      <alignment readingOrder="0"/>
    </xf>
    <xf borderId="4" fillId="0" fontId="5" numFmtId="164" xfId="0" applyAlignment="1" applyBorder="1" applyFont="1" applyNumberFormat="1">
      <alignment horizontal="right" readingOrder="0" vertical="center"/>
    </xf>
    <xf borderId="4" fillId="0" fontId="5" numFmtId="0" xfId="0" applyAlignment="1" applyBorder="1" applyFont="1">
      <alignment horizontal="left" readingOrder="0" vertical="center"/>
    </xf>
    <xf borderId="4" fillId="0" fontId="8" numFmtId="164" xfId="0" applyBorder="1" applyFont="1" applyNumberFormat="1"/>
    <xf borderId="4" fillId="0" fontId="8" numFmtId="0" xfId="0" applyBorder="1" applyFont="1"/>
    <xf borderId="15" fillId="8" fontId="4" numFmtId="0" xfId="0" applyBorder="1" applyFill="1" applyFont="1"/>
    <xf borderId="16" fillId="0" fontId="2" numFmtId="0" xfId="0" applyBorder="1" applyFont="1"/>
    <xf borderId="17" fillId="0" fontId="2" numFmtId="0" xfId="0" applyBorder="1" applyFont="1"/>
    <xf borderId="14" fillId="8" fontId="4" numFmtId="164" xfId="0" applyAlignment="1" applyBorder="1" applyFill="1" applyFont="1" applyNumberFormat="1">
      <alignment horizontal="right" vertical="center"/>
    </xf>
    <xf borderId="14" fillId="8" fontId="4" numFmtId="0" xfId="0" applyBorder="1" applyFill="1" applyFont="1"/>
    <xf borderId="4" fillId="0" fontId="5" numFmtId="166" xfId="0" applyAlignment="1" applyBorder="1" applyFont="1" applyNumberFormat="1">
      <alignment horizontal="center" readingOrder="0" vertical="center"/>
    </xf>
    <xf borderId="4" fillId="0" fontId="5" numFmtId="0" xfId="0" applyAlignment="1" applyBorder="1" applyFont="1">
      <alignment horizontal="center" readingOrder="0" vertical="center"/>
    </xf>
    <xf borderId="15" fillId="9" fontId="4" numFmtId="0" xfId="0" applyBorder="1" applyFill="1" applyFont="1"/>
    <xf borderId="14" fillId="9" fontId="4" numFmtId="164" xfId="0" applyAlignment="1" applyBorder="1" applyFill="1" applyFont="1" applyNumberFormat="1">
      <alignment horizontal="right" vertical="center"/>
    </xf>
    <xf borderId="18" fillId="5" fontId="6" numFmtId="0" xfId="0" applyAlignment="1" applyBorder="1" applyFill="1" applyFont="1">
      <alignment horizontal="center" vertical="center"/>
    </xf>
    <xf borderId="19" fillId="0" fontId="2" numFmtId="0" xfId="0" applyBorder="1" applyFont="1"/>
    <xf borderId="20" fillId="0" fontId="2" numFmtId="0" xfId="0" applyBorder="1" applyFont="1"/>
    <xf borderId="1" fillId="3" fontId="4" numFmtId="0" xfId="0" applyBorder="1" applyFill="1" applyFont="1"/>
    <xf borderId="4" fillId="4" fontId="9" numFmtId="164" xfId="0" applyAlignment="1" applyBorder="1" applyFill="1" applyFont="1" applyNumberFormat="1">
      <alignment horizontal="right" vertical="center"/>
    </xf>
    <xf borderId="15" fillId="7" fontId="4" numFmtId="0" xfId="0" applyBorder="1" applyFill="1" applyFont="1"/>
    <xf borderId="21" fillId="3" fontId="4" numFmtId="0" xfId="0" applyBorder="1" applyFill="1" applyFont="1"/>
    <xf borderId="22" fillId="0" fontId="2" numFmtId="0" xfId="0" applyBorder="1" applyFont="1"/>
    <xf borderId="23" fillId="0" fontId="2" numFmtId="0" xfId="0" applyBorder="1" applyFont="1"/>
    <xf borderId="4" fillId="3" fontId="4" numFmtId="164" xfId="0" applyAlignment="1" applyBorder="1" applyFill="1" applyFont="1" applyNumberFormat="1">
      <alignment horizontal="right" vertical="center"/>
    </xf>
    <xf borderId="14" fillId="8" fontId="4" numFmtId="0" xfId="0" applyAlignment="1" applyBorder="1" applyFill="1" applyFont="1">
      <alignment horizontal="center" vertical="center"/>
    </xf>
    <xf borderId="4" fillId="0" fontId="5" numFmtId="164" xfId="0" applyBorder="1" applyFont="1" applyNumberFormat="1"/>
    <xf borderId="14" fillId="0" fontId="8" numFmtId="0" xfId="0" applyBorder="1" applyFont="1"/>
    <xf borderId="14" fillId="0" fontId="4" numFmtId="0" xfId="0" applyBorder="1" applyFont="1"/>
    <xf borderId="14" fillId="0" fontId="4"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2" width="20.0"/>
    <col customWidth="1" min="3" max="4" width="18.0"/>
    <col customWidth="1" min="5" max="5" width="14.0"/>
    <col customWidth="1" min="6" max="6" width="22.0"/>
    <col customWidth="1" min="7" max="7" width="40.0"/>
    <col customWidth="1" min="8" max="26" width="8.71"/>
  </cols>
  <sheetData>
    <row r="1">
      <c r="A1" s="1" t="s">
        <v>0</v>
      </c>
      <c r="B1" s="2"/>
      <c r="C1" s="2"/>
      <c r="D1" s="2"/>
      <c r="E1" s="2"/>
      <c r="F1" s="2"/>
      <c r="G1" s="3"/>
    </row>
    <row r="2">
      <c r="A2" s="4" t="s">
        <v>1</v>
      </c>
      <c r="B2" s="2"/>
      <c r="C2" s="2"/>
      <c r="D2" s="2"/>
      <c r="E2" s="2"/>
      <c r="F2" s="2"/>
      <c r="G2" s="3"/>
    </row>
    <row r="4">
      <c r="A4" s="5" t="s">
        <v>2</v>
      </c>
      <c r="B4" s="6" t="s">
        <v>3</v>
      </c>
      <c r="D4" s="5" t="s">
        <v>4</v>
      </c>
      <c r="E4" s="6" t="s">
        <v>5</v>
      </c>
      <c r="F4" s="5" t="s">
        <v>6</v>
      </c>
      <c r="G4" s="7">
        <f>IF(COUNTA('Roster &amp; Fee Tracker'!B5:B25)&gt;0, COUNTA('Roster &amp; Fee Tracker'!B5:B25), 17)</f>
        <v>17</v>
      </c>
    </row>
    <row r="5">
      <c r="A5" s="5" t="s">
        <v>7</v>
      </c>
      <c r="B5" s="6" t="s">
        <v>8</v>
      </c>
      <c r="D5" s="5" t="s">
        <v>9</v>
      </c>
      <c r="E5" s="6" t="s">
        <v>10</v>
      </c>
      <c r="F5" s="5" t="s">
        <v>11</v>
      </c>
      <c r="G5" s="6" t="s">
        <v>12</v>
      </c>
    </row>
    <row r="6">
      <c r="A6" s="5" t="s">
        <v>13</v>
      </c>
      <c r="B6" s="6" t="s">
        <v>14</v>
      </c>
      <c r="D6" s="5" t="s">
        <v>15</v>
      </c>
      <c r="E6" s="6" t="s">
        <v>16</v>
      </c>
      <c r="F6" s="5" t="s">
        <v>17</v>
      </c>
      <c r="G6" s="6" t="s">
        <v>18</v>
      </c>
    </row>
    <row r="8">
      <c r="A8" s="8" t="s">
        <v>19</v>
      </c>
      <c r="B8" s="9"/>
      <c r="C8" s="9"/>
      <c r="D8" s="9"/>
      <c r="E8" s="9"/>
      <c r="F8" s="9"/>
      <c r="G8" s="10"/>
    </row>
    <row r="9">
      <c r="A9" s="11"/>
      <c r="G9" s="12"/>
    </row>
    <row r="10">
      <c r="A10" s="13"/>
      <c r="B10" s="14"/>
      <c r="C10" s="14"/>
      <c r="D10" s="14"/>
      <c r="E10" s="14"/>
      <c r="F10" s="14"/>
      <c r="G10" s="15"/>
    </row>
    <row r="12">
      <c r="A12" s="16" t="s">
        <v>20</v>
      </c>
      <c r="B12" s="2"/>
      <c r="C12" s="2"/>
      <c r="D12" s="2"/>
      <c r="E12" s="2"/>
      <c r="F12" s="2"/>
      <c r="G12" s="3"/>
    </row>
    <row r="13">
      <c r="A13" s="17" t="s">
        <v>21</v>
      </c>
      <c r="B13" s="18" t="s">
        <v>22</v>
      </c>
      <c r="C13" s="18" t="s">
        <v>23</v>
      </c>
      <c r="D13" s="18" t="s">
        <v>24</v>
      </c>
      <c r="E13" s="19" t="s">
        <v>25</v>
      </c>
      <c r="F13" s="19" t="s">
        <v>26</v>
      </c>
      <c r="G13" s="17" t="s">
        <v>27</v>
      </c>
    </row>
    <row r="14">
      <c r="A14" s="20" t="s">
        <v>28</v>
      </c>
      <c r="B14" s="21">
        <f>Income!E14</f>
        <v>2950</v>
      </c>
      <c r="C14" s="21">
        <f>Income!F14</f>
        <v>0</v>
      </c>
      <c r="D14" s="21">
        <f t="shared" ref="D14:D18" si="1">C14-B14</f>
        <v>-2950</v>
      </c>
      <c r="E14" s="22">
        <f t="shared" ref="E14:E18" si="2">IF(B14&gt;0, C14/B14, 0)</f>
        <v>0</v>
      </c>
      <c r="F14" s="23" t="str">
        <f>IF(D14&gt;=0,"On Target","Pending")</f>
        <v>Pending</v>
      </c>
      <c r="G14" s="20" t="s">
        <v>29</v>
      </c>
    </row>
    <row r="15">
      <c r="A15" s="20" t="s">
        <v>30</v>
      </c>
      <c r="B15" s="21">
        <f>Income!D23</f>
        <v>3800</v>
      </c>
      <c r="C15" s="21">
        <f>Income!E23</f>
        <v>0</v>
      </c>
      <c r="D15" s="21">
        <f t="shared" si="1"/>
        <v>-3800</v>
      </c>
      <c r="E15" s="22">
        <f t="shared" si="2"/>
        <v>0</v>
      </c>
      <c r="F15" s="23" t="str">
        <f>IF(D15&gt;=0,"On Target","In Progress")</f>
        <v>In Progress</v>
      </c>
      <c r="G15" s="20" t="s">
        <v>31</v>
      </c>
    </row>
    <row r="16">
      <c r="A16" s="20" t="s">
        <v>32</v>
      </c>
      <c r="B16" s="21">
        <f>Income!D33</f>
        <v>11199.94</v>
      </c>
      <c r="C16" s="21">
        <f>Income!E33</f>
        <v>0</v>
      </c>
      <c r="D16" s="21">
        <f t="shared" si="1"/>
        <v>-11199.94</v>
      </c>
      <c r="E16" s="22">
        <f t="shared" si="2"/>
        <v>0</v>
      </c>
      <c r="F16" s="23" t="str">
        <f t="shared" ref="F16:F17" si="3">IF(D16&gt;=0,"Collected","Pending")</f>
        <v>Pending</v>
      </c>
      <c r="G16" s="20" t="s">
        <v>33</v>
      </c>
    </row>
    <row r="17">
      <c r="A17" s="20" t="s">
        <v>34</v>
      </c>
      <c r="B17" s="21">
        <f>Income!D41</f>
        <v>2550</v>
      </c>
      <c r="C17" s="21">
        <f>Income!E41</f>
        <v>0</v>
      </c>
      <c r="D17" s="21">
        <f t="shared" si="1"/>
        <v>-2550</v>
      </c>
      <c r="E17" s="22">
        <f t="shared" si="2"/>
        <v>0</v>
      </c>
      <c r="F17" s="23" t="str">
        <f t="shared" si="3"/>
        <v>Pending</v>
      </c>
      <c r="G17" s="20" t="s">
        <v>35</v>
      </c>
    </row>
    <row r="18">
      <c r="A18" s="20" t="s">
        <v>36</v>
      </c>
      <c r="B18" s="21">
        <f>Income!D47</f>
        <v>0</v>
      </c>
      <c r="C18" s="21">
        <f>Income!E47</f>
        <v>0</v>
      </c>
      <c r="D18" s="21">
        <f t="shared" si="1"/>
        <v>0</v>
      </c>
      <c r="E18" s="22">
        <f t="shared" si="2"/>
        <v>0</v>
      </c>
      <c r="F18" s="23" t="s">
        <v>37</v>
      </c>
      <c r="G18" s="20" t="s">
        <v>38</v>
      </c>
    </row>
    <row r="21" ht="15.75" customHeight="1">
      <c r="A21" s="24" t="s">
        <v>39</v>
      </c>
      <c r="B21" s="25">
        <f t="shared" ref="B21:C21" si="4">SUM(B14:B18)</f>
        <v>20499.94</v>
      </c>
      <c r="C21" s="25">
        <f t="shared" si="4"/>
        <v>0</v>
      </c>
      <c r="D21" s="25">
        <f>C21-B21</f>
        <v>-20499.94</v>
      </c>
      <c r="E21" s="26">
        <f>IF(B21&gt;0, C21/B21, 0)</f>
        <v>0</v>
      </c>
      <c r="F21" s="27" t="str">
        <f>IF(D21&gt;=0,"SURPLUS / ON TRACK","DEFICIT")</f>
        <v>DEFICIT</v>
      </c>
      <c r="G21" s="24" t="s">
        <v>40</v>
      </c>
    </row>
    <row r="22" ht="15.75" customHeight="1"/>
    <row r="23" ht="15.75" customHeight="1"/>
    <row r="24" ht="15.75" customHeight="1">
      <c r="A24" s="16" t="s">
        <v>41</v>
      </c>
      <c r="B24" s="2"/>
      <c r="C24" s="2"/>
      <c r="D24" s="2"/>
      <c r="E24" s="2"/>
      <c r="F24" s="2"/>
      <c r="G24" s="3"/>
    </row>
    <row r="25" ht="15.75" customHeight="1">
      <c r="A25" s="17" t="s">
        <v>42</v>
      </c>
      <c r="B25" s="18" t="s">
        <v>22</v>
      </c>
      <c r="C25" s="18" t="s">
        <v>23</v>
      </c>
      <c r="D25" s="18" t="s">
        <v>24</v>
      </c>
      <c r="E25" s="19" t="s">
        <v>43</v>
      </c>
      <c r="F25" s="19" t="s">
        <v>26</v>
      </c>
      <c r="G25" s="17" t="s">
        <v>27</v>
      </c>
    </row>
    <row r="26" ht="15.75" customHeight="1">
      <c r="A26" s="20" t="s">
        <v>44</v>
      </c>
      <c r="B26" s="21">
        <f>Expenses!E11</f>
        <v>9500</v>
      </c>
      <c r="C26" s="21">
        <f>Expenses!F11</f>
        <v>0</v>
      </c>
      <c r="D26" s="21">
        <f t="shared" ref="D26:D32" si="5">B26-C26</f>
        <v>9500</v>
      </c>
      <c r="E26" s="22">
        <f t="shared" ref="E26:E32" si="6">IF(B26&gt;0, C26/B26, 0)</f>
        <v>0</v>
      </c>
      <c r="F26" s="23" t="str">
        <f t="shared" ref="F26:F31" si="7">IF(C26&lt;=B26,"On Budget","Over")</f>
        <v>On Budget</v>
      </c>
      <c r="G26" s="20" t="s">
        <v>45</v>
      </c>
    </row>
    <row r="27" ht="15.75" customHeight="1">
      <c r="A27" s="20" t="s">
        <v>46</v>
      </c>
      <c r="B27" s="21">
        <f>Expenses!E22</f>
        <v>3800</v>
      </c>
      <c r="C27" s="21">
        <f>Expenses!F22</f>
        <v>0</v>
      </c>
      <c r="D27" s="21">
        <f t="shared" si="5"/>
        <v>3800</v>
      </c>
      <c r="E27" s="22">
        <f t="shared" si="6"/>
        <v>0</v>
      </c>
      <c r="F27" s="23" t="str">
        <f t="shared" si="7"/>
        <v>On Budget</v>
      </c>
      <c r="G27" s="20" t="s">
        <v>47</v>
      </c>
    </row>
    <row r="28" ht="15.75" customHeight="1">
      <c r="A28" s="20" t="s">
        <v>48</v>
      </c>
      <c r="B28" s="21">
        <f>Expenses!E32</f>
        <v>1746</v>
      </c>
      <c r="C28" s="21">
        <f>Expenses!F32</f>
        <v>0</v>
      </c>
      <c r="D28" s="21">
        <f t="shared" si="5"/>
        <v>1746</v>
      </c>
      <c r="E28" s="22">
        <f t="shared" si="6"/>
        <v>0</v>
      </c>
      <c r="F28" s="23" t="str">
        <f t="shared" si="7"/>
        <v>On Budget</v>
      </c>
      <c r="G28" s="20" t="s">
        <v>49</v>
      </c>
    </row>
    <row r="29" ht="15.75" customHeight="1">
      <c r="A29" s="20" t="s">
        <v>50</v>
      </c>
      <c r="B29" s="21">
        <f>Expenses!E43</f>
        <v>1220</v>
      </c>
      <c r="C29" s="21">
        <f>Expenses!F43</f>
        <v>0</v>
      </c>
      <c r="D29" s="21">
        <f t="shared" si="5"/>
        <v>1220</v>
      </c>
      <c r="E29" s="22">
        <f t="shared" si="6"/>
        <v>0</v>
      </c>
      <c r="F29" s="23" t="str">
        <f t="shared" si="7"/>
        <v>On Budget</v>
      </c>
      <c r="G29" s="20" t="s">
        <v>51</v>
      </c>
    </row>
    <row r="30" ht="15.75" customHeight="1">
      <c r="A30" s="20" t="s">
        <v>52</v>
      </c>
      <c r="B30" s="21">
        <f>Expenses!E51</f>
        <v>1350</v>
      </c>
      <c r="C30" s="21">
        <f>Expenses!F51</f>
        <v>0</v>
      </c>
      <c r="D30" s="21">
        <f t="shared" si="5"/>
        <v>1350</v>
      </c>
      <c r="E30" s="22">
        <f t="shared" si="6"/>
        <v>0</v>
      </c>
      <c r="F30" s="23" t="str">
        <f t="shared" si="7"/>
        <v>On Budget</v>
      </c>
      <c r="G30" s="20" t="s">
        <v>53</v>
      </c>
    </row>
    <row r="31" ht="15.75" customHeight="1">
      <c r="A31" s="20" t="s">
        <v>54</v>
      </c>
      <c r="B31" s="21">
        <f>Expenses!E59</f>
        <v>333.94</v>
      </c>
      <c r="C31" s="21">
        <f>Expenses!F59</f>
        <v>0</v>
      </c>
      <c r="D31" s="21">
        <f t="shared" si="5"/>
        <v>333.94</v>
      </c>
      <c r="E31" s="22">
        <f t="shared" si="6"/>
        <v>0</v>
      </c>
      <c r="F31" s="23" t="str">
        <f t="shared" si="7"/>
        <v>On Budget</v>
      </c>
      <c r="G31" s="20" t="s">
        <v>55</v>
      </c>
    </row>
    <row r="32" ht="15.75" customHeight="1">
      <c r="A32" s="20" t="s">
        <v>56</v>
      </c>
      <c r="B32" s="21">
        <f>Expenses!E65</f>
        <v>2550</v>
      </c>
      <c r="C32" s="21">
        <f>Expenses!F65</f>
        <v>0</v>
      </c>
      <c r="D32" s="21">
        <f t="shared" si="5"/>
        <v>2550</v>
      </c>
      <c r="E32" s="22">
        <f t="shared" si="6"/>
        <v>0</v>
      </c>
      <c r="F32" s="23" t="str">
        <f>IF(C32&lt;=B32,"Pending EOY","Refunded")</f>
        <v>Pending EOY</v>
      </c>
      <c r="G32" s="20" t="s">
        <v>57</v>
      </c>
    </row>
    <row r="33" ht="15.75" customHeight="1"/>
    <row r="34" ht="15.75" customHeight="1"/>
    <row r="35" ht="15.75" customHeight="1"/>
    <row r="36" ht="15.75" customHeight="1">
      <c r="A36" s="24" t="s">
        <v>58</v>
      </c>
      <c r="B36" s="25">
        <f t="shared" ref="B36:C36" si="8">SUM(B26:B32)</f>
        <v>20499.94</v>
      </c>
      <c r="C36" s="25">
        <f t="shared" si="8"/>
        <v>0</v>
      </c>
      <c r="D36" s="25">
        <f>B36-C36</f>
        <v>20499.94</v>
      </c>
      <c r="E36" s="26">
        <f>IF(B36&gt;0, C36/B36, 0)</f>
        <v>0</v>
      </c>
      <c r="F36" s="27" t="str">
        <f>IF(D36&gt;=0,"UNDER BUDGET","OVER BUDGET")</f>
        <v>UNDER BUDGET</v>
      </c>
      <c r="G36" s="24" t="s">
        <v>59</v>
      </c>
    </row>
    <row r="37" ht="15.75" customHeight="1"/>
    <row r="38" ht="15.75" customHeight="1">
      <c r="A38" s="28" t="s">
        <v>60</v>
      </c>
      <c r="B38" s="2"/>
      <c r="C38" s="2"/>
      <c r="D38" s="2"/>
      <c r="E38" s="2"/>
      <c r="F38" s="2"/>
      <c r="G38" s="3"/>
    </row>
    <row r="39" ht="15.75" customHeight="1">
      <c r="A39" s="29" t="s">
        <v>61</v>
      </c>
      <c r="B39" s="30">
        <f t="shared" ref="B39:C39" si="9">B21-B36</f>
        <v>0</v>
      </c>
      <c r="C39" s="30">
        <f t="shared" si="9"/>
        <v>0</v>
      </c>
      <c r="D39" s="30">
        <f>C39-B39</f>
        <v>0</v>
      </c>
      <c r="E39" s="29"/>
      <c r="F39" s="31" t="str">
        <f>IF(B39&gt;=0,"BALANCED / SURPLUS","DEFICIT")</f>
        <v>BALANCED / SURPLUS</v>
      </c>
      <c r="G39" s="29" t="s">
        <v>62</v>
      </c>
    </row>
    <row r="40" ht="15.75" customHeight="1">
      <c r="A40" s="20" t="s">
        <v>63</v>
      </c>
      <c r="B40" s="21">
        <f t="shared" ref="B40:C40" si="10">B36/$G$4</f>
        <v>1205.878824</v>
      </c>
      <c r="C40" s="21">
        <f t="shared" si="10"/>
        <v>0</v>
      </c>
      <c r="D40" s="21">
        <f>B40-C40</f>
        <v>1205.878824</v>
      </c>
      <c r="E40" s="20"/>
      <c r="F40" s="23"/>
      <c r="G40" s="20" t="s">
        <v>64</v>
      </c>
    </row>
    <row r="41" ht="15.75" customHeight="1">
      <c r="A41" s="20" t="s">
        <v>65</v>
      </c>
      <c r="B41" s="21">
        <f t="shared" ref="B41:C41" si="11">(B14+B15)/$G$4</f>
        <v>397.0588235</v>
      </c>
      <c r="C41" s="21">
        <f t="shared" si="11"/>
        <v>0</v>
      </c>
      <c r="D41" s="21">
        <f>C41-B41</f>
        <v>-397.0588235</v>
      </c>
      <c r="E41" s="20"/>
      <c r="F41" s="23"/>
      <c r="G41" s="20" t="s">
        <v>66</v>
      </c>
    </row>
    <row r="42" ht="15.75" customHeight="1">
      <c r="A42" s="32" t="s">
        <v>67</v>
      </c>
      <c r="B42" s="33">
        <f t="shared" ref="B42:C42" si="12">B16/$G$4</f>
        <v>658.82</v>
      </c>
      <c r="C42" s="33">
        <f t="shared" si="12"/>
        <v>0</v>
      </c>
      <c r="D42" s="33">
        <f>B42-C42</f>
        <v>658.82</v>
      </c>
      <c r="E42" s="32"/>
      <c r="F42" s="34"/>
      <c r="G42" s="32" t="s">
        <v>68</v>
      </c>
    </row>
    <row r="43" ht="15.75" customHeight="1"/>
    <row r="44" ht="15.75" customHeight="1"/>
    <row r="45" ht="15.75" customHeight="1">
      <c r="A45" s="28" t="s">
        <v>69</v>
      </c>
      <c r="B45" s="2"/>
      <c r="C45" s="2"/>
      <c r="D45" s="2"/>
      <c r="E45" s="2"/>
      <c r="F45" s="2"/>
      <c r="G45" s="3"/>
    </row>
    <row r="46" ht="15.75" customHeight="1">
      <c r="A46" s="35" t="s">
        <v>70</v>
      </c>
      <c r="E46" s="34" t="s">
        <v>71</v>
      </c>
      <c r="F46" s="23" t="s">
        <v>72</v>
      </c>
      <c r="G46" s="34" t="s">
        <v>73</v>
      </c>
    </row>
    <row r="47" ht="15.75" customHeight="1">
      <c r="A47" s="35" t="s">
        <v>74</v>
      </c>
      <c r="E47" s="34" t="s">
        <v>71</v>
      </c>
      <c r="F47" s="23" t="s">
        <v>75</v>
      </c>
      <c r="G47" s="34" t="s">
        <v>76</v>
      </c>
    </row>
    <row r="48" ht="15.75" customHeight="1">
      <c r="A48" s="35" t="s">
        <v>77</v>
      </c>
      <c r="E48" s="34" t="s">
        <v>78</v>
      </c>
      <c r="F48" s="23" t="s">
        <v>79</v>
      </c>
      <c r="G48" s="34" t="s">
        <v>80</v>
      </c>
    </row>
    <row r="49" ht="15.75" customHeight="1">
      <c r="A49" s="35" t="s">
        <v>81</v>
      </c>
      <c r="E49" s="34" t="s">
        <v>82</v>
      </c>
      <c r="F49" s="23" t="s">
        <v>75</v>
      </c>
      <c r="G49" s="34" t="s">
        <v>80</v>
      </c>
    </row>
    <row r="50" ht="15.75" customHeight="1">
      <c r="A50" s="35" t="s">
        <v>83</v>
      </c>
      <c r="E50" s="34" t="s">
        <v>84</v>
      </c>
      <c r="F50" s="23" t="s">
        <v>75</v>
      </c>
      <c r="G50" s="34" t="s">
        <v>80</v>
      </c>
    </row>
    <row r="51" ht="15.75" customHeight="1">
      <c r="A51" s="35" t="s">
        <v>85</v>
      </c>
      <c r="E51" s="34" t="s">
        <v>86</v>
      </c>
      <c r="F51" s="23" t="s">
        <v>79</v>
      </c>
      <c r="G51" s="34" t="s">
        <v>80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8:G10"/>
    <mergeCell ref="A12:G12"/>
    <mergeCell ref="A24:G24"/>
    <mergeCell ref="A38:G38"/>
    <mergeCell ref="A45:G4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3" width="24.0"/>
    <col customWidth="1" min="4" max="6" width="18.0"/>
    <col customWidth="1" min="7" max="7" width="34.0"/>
    <col customWidth="1" min="8" max="26" width="8.71"/>
  </cols>
  <sheetData>
    <row r="1">
      <c r="A1" s="1" t="s">
        <v>87</v>
      </c>
      <c r="B1" s="2"/>
      <c r="C1" s="2"/>
      <c r="D1" s="2"/>
      <c r="E1" s="2"/>
      <c r="F1" s="2"/>
      <c r="G1" s="3"/>
    </row>
    <row r="2">
      <c r="A2" s="4" t="s">
        <v>88</v>
      </c>
      <c r="B2" s="2"/>
      <c r="C2" s="2"/>
      <c r="D2" s="2"/>
      <c r="E2" s="2"/>
      <c r="F2" s="2"/>
      <c r="G2" s="3"/>
    </row>
    <row r="4">
      <c r="A4" s="36" t="s">
        <v>89</v>
      </c>
      <c r="B4" s="2"/>
      <c r="C4" s="2"/>
      <c r="D4" s="2"/>
      <c r="E4" s="2"/>
      <c r="F4" s="2"/>
      <c r="G4" s="3"/>
    </row>
    <row r="5">
      <c r="A5" s="17" t="s">
        <v>90</v>
      </c>
      <c r="B5" s="19" t="s">
        <v>91</v>
      </c>
      <c r="C5" s="17" t="s">
        <v>92</v>
      </c>
      <c r="D5" s="19" t="s">
        <v>93</v>
      </c>
      <c r="E5" s="18" t="s">
        <v>22</v>
      </c>
      <c r="F5" s="18" t="s">
        <v>94</v>
      </c>
      <c r="G5" s="19" t="s">
        <v>95</v>
      </c>
    </row>
    <row r="6">
      <c r="A6" s="20" t="s">
        <v>96</v>
      </c>
      <c r="B6" s="23" t="s">
        <v>97</v>
      </c>
      <c r="C6" s="20" t="s">
        <v>98</v>
      </c>
      <c r="D6" s="23" t="s">
        <v>99</v>
      </c>
      <c r="E6" s="21">
        <v>1000.0</v>
      </c>
      <c r="F6" s="21">
        <v>0.0</v>
      </c>
      <c r="G6" s="23" t="s">
        <v>100</v>
      </c>
    </row>
    <row r="7">
      <c r="A7" s="20" t="s">
        <v>101</v>
      </c>
      <c r="B7" s="23" t="s">
        <v>102</v>
      </c>
      <c r="C7" s="20" t="s">
        <v>98</v>
      </c>
      <c r="D7" s="23" t="s">
        <v>99</v>
      </c>
      <c r="E7" s="21">
        <v>500.0</v>
      </c>
      <c r="F7" s="21">
        <v>0.0</v>
      </c>
      <c r="G7" s="23" t="s">
        <v>100</v>
      </c>
    </row>
    <row r="8">
      <c r="A8" s="20" t="s">
        <v>103</v>
      </c>
      <c r="B8" s="23" t="s">
        <v>102</v>
      </c>
      <c r="C8" s="20" t="s">
        <v>98</v>
      </c>
      <c r="D8" s="23" t="s">
        <v>99</v>
      </c>
      <c r="E8" s="21">
        <v>500.0</v>
      </c>
      <c r="F8" s="21">
        <v>0.0</v>
      </c>
      <c r="G8" s="23" t="s">
        <v>100</v>
      </c>
    </row>
    <row r="9">
      <c r="A9" s="20" t="s">
        <v>104</v>
      </c>
      <c r="B9" s="23" t="s">
        <v>105</v>
      </c>
      <c r="C9" s="20" t="s">
        <v>98</v>
      </c>
      <c r="D9" s="23" t="s">
        <v>99</v>
      </c>
      <c r="E9" s="21">
        <v>250.0</v>
      </c>
      <c r="F9" s="21">
        <v>0.0</v>
      </c>
      <c r="G9" s="23" t="s">
        <v>100</v>
      </c>
    </row>
    <row r="10">
      <c r="A10" s="20" t="s">
        <v>106</v>
      </c>
      <c r="B10" s="23" t="s">
        <v>105</v>
      </c>
      <c r="C10" s="20" t="s">
        <v>98</v>
      </c>
      <c r="D10" s="23" t="s">
        <v>99</v>
      </c>
      <c r="E10" s="21">
        <v>250.0</v>
      </c>
      <c r="F10" s="21">
        <v>0.0</v>
      </c>
      <c r="G10" s="23" t="s">
        <v>100</v>
      </c>
    </row>
    <row r="11">
      <c r="A11" s="20" t="s">
        <v>107</v>
      </c>
      <c r="B11" s="23" t="s">
        <v>105</v>
      </c>
      <c r="C11" s="20" t="s">
        <v>98</v>
      </c>
      <c r="D11" s="23" t="s">
        <v>99</v>
      </c>
      <c r="E11" s="21">
        <v>250.0</v>
      </c>
      <c r="F11" s="21">
        <v>0.0</v>
      </c>
      <c r="G11" s="23" t="s">
        <v>100</v>
      </c>
    </row>
    <row r="12">
      <c r="A12" s="20" t="s">
        <v>108</v>
      </c>
      <c r="B12" s="23" t="s">
        <v>109</v>
      </c>
      <c r="C12" s="20" t="s">
        <v>98</v>
      </c>
      <c r="D12" s="23" t="s">
        <v>99</v>
      </c>
      <c r="E12" s="21">
        <v>100.0</v>
      </c>
      <c r="F12" s="21">
        <v>0.0</v>
      </c>
      <c r="G12" s="23" t="s">
        <v>100</v>
      </c>
    </row>
    <row r="13">
      <c r="A13" s="20" t="s">
        <v>110</v>
      </c>
      <c r="B13" s="23" t="s">
        <v>109</v>
      </c>
      <c r="C13" s="20" t="s">
        <v>98</v>
      </c>
      <c r="D13" s="23" t="s">
        <v>99</v>
      </c>
      <c r="E13" s="21">
        <v>100.0</v>
      </c>
      <c r="F13" s="21">
        <v>0.0</v>
      </c>
      <c r="G13" s="23" t="s">
        <v>100</v>
      </c>
    </row>
    <row r="14">
      <c r="A14" s="24" t="s">
        <v>111</v>
      </c>
      <c r="B14" s="24"/>
      <c r="C14" s="24"/>
      <c r="D14" s="24"/>
      <c r="E14" s="25">
        <f t="shared" ref="E14:F14" si="1">SUM(E6:E13)</f>
        <v>2950</v>
      </c>
      <c r="F14" s="25">
        <f t="shared" si="1"/>
        <v>0</v>
      </c>
      <c r="G14" s="24"/>
    </row>
    <row r="16">
      <c r="A16" s="36" t="s">
        <v>112</v>
      </c>
      <c r="B16" s="2"/>
      <c r="C16" s="2"/>
      <c r="D16" s="2"/>
      <c r="E16" s="2"/>
      <c r="F16" s="2"/>
      <c r="G16" s="3"/>
    </row>
    <row r="17">
      <c r="A17" s="17" t="s">
        <v>113</v>
      </c>
      <c r="B17" s="19" t="s">
        <v>114</v>
      </c>
      <c r="C17" s="19" t="s">
        <v>115</v>
      </c>
      <c r="D17" s="18" t="s">
        <v>22</v>
      </c>
      <c r="E17" s="18" t="s">
        <v>116</v>
      </c>
      <c r="F17" s="18" t="s">
        <v>24</v>
      </c>
      <c r="G17" s="17" t="s">
        <v>117</v>
      </c>
    </row>
    <row r="18">
      <c r="A18" s="20" t="s">
        <v>118</v>
      </c>
      <c r="B18" s="23" t="s">
        <v>119</v>
      </c>
      <c r="C18" s="23" t="s">
        <v>120</v>
      </c>
      <c r="D18" s="37">
        <v>1000.0</v>
      </c>
      <c r="E18" s="37">
        <v>0.0</v>
      </c>
      <c r="F18" s="21">
        <f t="shared" ref="F18:F23" si="2">E18-D18</f>
        <v>-1000</v>
      </c>
      <c r="G18" s="38" t="s">
        <v>121</v>
      </c>
    </row>
    <row r="19">
      <c r="A19" s="20" t="s">
        <v>122</v>
      </c>
      <c r="B19" s="23" t="s">
        <v>123</v>
      </c>
      <c r="C19" s="23" t="s">
        <v>124</v>
      </c>
      <c r="D19" s="37">
        <v>1500.0</v>
      </c>
      <c r="E19" s="37">
        <v>0.0</v>
      </c>
      <c r="F19" s="21">
        <f t="shared" si="2"/>
        <v>-1500</v>
      </c>
      <c r="G19" s="38" t="s">
        <v>121</v>
      </c>
    </row>
    <row r="20">
      <c r="A20" s="20" t="s">
        <v>125</v>
      </c>
      <c r="B20" s="23" t="s">
        <v>126</v>
      </c>
      <c r="C20" s="23" t="s">
        <v>127</v>
      </c>
      <c r="D20" s="37">
        <v>800.0</v>
      </c>
      <c r="E20" s="37">
        <v>0.0</v>
      </c>
      <c r="F20" s="21">
        <f t="shared" si="2"/>
        <v>-800</v>
      </c>
      <c r="G20" s="38" t="s">
        <v>121</v>
      </c>
    </row>
    <row r="21" ht="15.75" customHeight="1">
      <c r="A21" s="20" t="s">
        <v>128</v>
      </c>
      <c r="B21" s="23" t="s">
        <v>129</v>
      </c>
      <c r="C21" s="23" t="s">
        <v>130</v>
      </c>
      <c r="D21" s="37">
        <v>500.0</v>
      </c>
      <c r="E21" s="37">
        <v>0.0</v>
      </c>
      <c r="F21" s="21">
        <f t="shared" si="2"/>
        <v>-500</v>
      </c>
      <c r="G21" s="38" t="s">
        <v>121</v>
      </c>
    </row>
    <row r="22" ht="15.75" customHeight="1">
      <c r="A22" s="20" t="s">
        <v>131</v>
      </c>
      <c r="B22" s="23" t="s">
        <v>132</v>
      </c>
      <c r="C22" s="23" t="s">
        <v>133</v>
      </c>
      <c r="D22" s="21">
        <v>0.0</v>
      </c>
      <c r="E22" s="21">
        <v>0.0</v>
      </c>
      <c r="F22" s="21">
        <f t="shared" si="2"/>
        <v>0</v>
      </c>
      <c r="G22" s="20" t="s">
        <v>134</v>
      </c>
    </row>
    <row r="23" ht="15.75" customHeight="1">
      <c r="A23" s="24" t="s">
        <v>135</v>
      </c>
      <c r="B23" s="24"/>
      <c r="C23" s="24"/>
      <c r="D23" s="25">
        <f t="shared" ref="D23:E23" si="3">SUM(D18:D22)</f>
        <v>3800</v>
      </c>
      <c r="E23" s="25">
        <f t="shared" si="3"/>
        <v>0</v>
      </c>
      <c r="F23" s="25">
        <f t="shared" si="2"/>
        <v>-3800</v>
      </c>
      <c r="G23" s="24"/>
    </row>
    <row r="24" ht="15.75" customHeight="1"/>
    <row r="25" ht="15.75" customHeight="1">
      <c r="A25" s="36" t="s">
        <v>136</v>
      </c>
      <c r="B25" s="2"/>
      <c r="C25" s="2"/>
      <c r="D25" s="2"/>
      <c r="E25" s="2"/>
      <c r="F25" s="2"/>
      <c r="G25" s="3"/>
    </row>
    <row r="26" ht="15.75" customHeight="1">
      <c r="A26" s="17" t="s">
        <v>137</v>
      </c>
      <c r="B26" s="18" t="s">
        <v>138</v>
      </c>
      <c r="C26" s="19" t="s">
        <v>139</v>
      </c>
      <c r="D26" s="18" t="s">
        <v>140</v>
      </c>
      <c r="E26" s="18" t="s">
        <v>141</v>
      </c>
      <c r="F26" s="18" t="s">
        <v>24</v>
      </c>
      <c r="G26" s="19" t="s">
        <v>142</v>
      </c>
    </row>
    <row r="27" ht="15.75" customHeight="1">
      <c r="A27" s="20" t="s">
        <v>143</v>
      </c>
      <c r="B27" s="21">
        <f>ROUND(Expenses!E6/'Budget Summary'!$G$4, 2)</f>
        <v>279.41</v>
      </c>
      <c r="C27" s="23">
        <f>'Budget Summary'!$G$4</f>
        <v>17</v>
      </c>
      <c r="D27" s="21">
        <f t="shared" ref="D27:D30" si="4">B27*C27</f>
        <v>4749.97</v>
      </c>
      <c r="E27" s="21">
        <v>0.0</v>
      </c>
      <c r="F27" s="21">
        <f t="shared" ref="F27:F30" si="5">E27-D27</f>
        <v>-4749.97</v>
      </c>
      <c r="G27" s="20" t="s">
        <v>144</v>
      </c>
    </row>
    <row r="28" ht="15.75" customHeight="1">
      <c r="A28" s="20" t="s">
        <v>145</v>
      </c>
      <c r="B28" s="21">
        <f>ROUND(Expenses!E7/'Budget Summary'!$G$4, 2)</f>
        <v>279.41</v>
      </c>
      <c r="C28" s="23">
        <f>'Budget Summary'!$G$4</f>
        <v>17</v>
      </c>
      <c r="D28" s="21">
        <f t="shared" si="4"/>
        <v>4749.97</v>
      </c>
      <c r="E28" s="21">
        <v>0.0</v>
      </c>
      <c r="F28" s="21">
        <f t="shared" si="5"/>
        <v>-4749.97</v>
      </c>
      <c r="G28" s="20" t="s">
        <v>146</v>
      </c>
    </row>
    <row r="29" ht="15.75" customHeight="1">
      <c r="A29" s="20" t="s">
        <v>147</v>
      </c>
      <c r="B29" s="21">
        <v>100.0</v>
      </c>
      <c r="C29" s="23">
        <f>'Budget Summary'!$G$4</f>
        <v>17</v>
      </c>
      <c r="D29" s="21">
        <f t="shared" si="4"/>
        <v>1700</v>
      </c>
      <c r="E29" s="21">
        <v>0.0</v>
      </c>
      <c r="F29" s="21">
        <f t="shared" si="5"/>
        <v>-1700</v>
      </c>
      <c r="G29" s="20" t="s">
        <v>148</v>
      </c>
    </row>
    <row r="30" ht="15.75" customHeight="1">
      <c r="A30" s="20" t="s">
        <v>149</v>
      </c>
      <c r="B30" s="21">
        <v>0.0</v>
      </c>
      <c r="C30" s="23">
        <f>'Budget Summary'!$G$4</f>
        <v>17</v>
      </c>
      <c r="D30" s="21">
        <f t="shared" si="4"/>
        <v>0</v>
      </c>
      <c r="E30" s="21">
        <v>0.0</v>
      </c>
      <c r="F30" s="21">
        <f t="shared" si="5"/>
        <v>0</v>
      </c>
      <c r="G30" s="20" t="s">
        <v>150</v>
      </c>
    </row>
    <row r="31" ht="15.75" customHeight="1"/>
    <row r="32" ht="15.75" customHeight="1"/>
    <row r="33" ht="15.75" customHeight="1">
      <c r="A33" s="24" t="s">
        <v>151</v>
      </c>
      <c r="B33" s="24"/>
      <c r="C33" s="24"/>
      <c r="D33" s="25">
        <f t="shared" ref="D33:E33" si="6">SUM(D27:D30)</f>
        <v>11199.94</v>
      </c>
      <c r="E33" s="25">
        <f t="shared" si="6"/>
        <v>0</v>
      </c>
      <c r="F33" s="25">
        <f>E33-D33</f>
        <v>-11199.94</v>
      </c>
      <c r="G33" s="24"/>
    </row>
    <row r="34" ht="15.75" customHeight="1"/>
    <row r="35" ht="15.75" customHeight="1">
      <c r="A35" s="36" t="s">
        <v>152</v>
      </c>
      <c r="B35" s="2"/>
      <c r="C35" s="2"/>
      <c r="D35" s="2"/>
      <c r="E35" s="2"/>
      <c r="F35" s="2"/>
      <c r="G35" s="3"/>
    </row>
    <row r="36" ht="15.75" customHeight="1">
      <c r="A36" s="17" t="s">
        <v>153</v>
      </c>
      <c r="B36" s="18" t="s">
        <v>154</v>
      </c>
      <c r="C36" s="19" t="s">
        <v>139</v>
      </c>
      <c r="D36" s="18" t="s">
        <v>140</v>
      </c>
      <c r="E36" s="18" t="s">
        <v>141</v>
      </c>
      <c r="F36" s="19" t="s">
        <v>155</v>
      </c>
      <c r="G36" s="17" t="s">
        <v>156</v>
      </c>
    </row>
    <row r="37" ht="15.75" customHeight="1">
      <c r="A37" s="20" t="s">
        <v>157</v>
      </c>
      <c r="B37" s="21">
        <v>150.0</v>
      </c>
      <c r="C37" s="23">
        <f>'Budget Summary'!$G$4</f>
        <v>17</v>
      </c>
      <c r="D37" s="21">
        <f>B37*C37</f>
        <v>2550</v>
      </c>
      <c r="E37" s="21">
        <v>0.0</v>
      </c>
      <c r="F37" s="20" t="s">
        <v>158</v>
      </c>
      <c r="G37" s="20" t="s">
        <v>159</v>
      </c>
    </row>
    <row r="38" ht="15.75" customHeight="1">
      <c r="A38" s="20" t="s">
        <v>160</v>
      </c>
      <c r="B38" s="21">
        <v>0.0</v>
      </c>
      <c r="C38" s="23">
        <f>'Budget Summary'!$G$4</f>
        <v>17</v>
      </c>
      <c r="D38" s="21">
        <v>0.0</v>
      </c>
      <c r="E38" s="21">
        <v>0.0</v>
      </c>
      <c r="F38" s="20" t="s">
        <v>161</v>
      </c>
      <c r="G38" s="20" t="s">
        <v>162</v>
      </c>
    </row>
    <row r="39" ht="15.75" customHeight="1"/>
    <row r="40" ht="15.75" customHeight="1"/>
    <row r="41" ht="15.75" customHeight="1">
      <c r="A41" s="24" t="s">
        <v>163</v>
      </c>
      <c r="B41" s="24"/>
      <c r="C41" s="24"/>
      <c r="D41" s="25">
        <f t="shared" ref="D41:E41" si="7">D37+D38</f>
        <v>2550</v>
      </c>
      <c r="E41" s="25">
        <f t="shared" si="7"/>
        <v>0</v>
      </c>
      <c r="F41" s="25">
        <f>E41-D41</f>
        <v>-2550</v>
      </c>
      <c r="G41" s="24"/>
    </row>
    <row r="42" ht="15.75" customHeight="1"/>
    <row r="43" ht="15.75" customHeight="1">
      <c r="A43" s="28" t="s">
        <v>164</v>
      </c>
      <c r="B43" s="2"/>
      <c r="C43" s="2"/>
      <c r="D43" s="2"/>
      <c r="E43" s="2"/>
      <c r="F43" s="2"/>
      <c r="G43" s="3"/>
    </row>
    <row r="44" ht="15.75" customHeight="1">
      <c r="A44" s="35" t="s">
        <v>165</v>
      </c>
      <c r="D44" s="39">
        <v>0.0</v>
      </c>
      <c r="E44" s="39">
        <v>0.0</v>
      </c>
      <c r="G44" s="40" t="s">
        <v>166</v>
      </c>
    </row>
    <row r="45" ht="15.75" customHeight="1"/>
    <row r="46" ht="15.75" customHeight="1"/>
    <row r="47" ht="15.75" customHeight="1">
      <c r="A47" s="24" t="s">
        <v>167</v>
      </c>
      <c r="B47" s="24"/>
      <c r="C47" s="24"/>
      <c r="D47" s="25">
        <f t="shared" ref="D47:E47" si="8">D44</f>
        <v>0</v>
      </c>
      <c r="E47" s="25">
        <f t="shared" si="8"/>
        <v>0</v>
      </c>
      <c r="F47" s="25">
        <f>E47-D47</f>
        <v>0</v>
      </c>
      <c r="G47" s="24"/>
    </row>
    <row r="48" ht="15.75" customHeight="1"/>
    <row r="49" ht="15.75" customHeight="1">
      <c r="A49" s="41" t="s">
        <v>168</v>
      </c>
      <c r="B49" s="42"/>
      <c r="C49" s="43"/>
      <c r="D49" s="44">
        <f t="shared" ref="D49:E49" si="9">E14+D23+D33+D41+D47</f>
        <v>20499.94</v>
      </c>
      <c r="E49" s="44">
        <f t="shared" si="9"/>
        <v>0</v>
      </c>
      <c r="F49" s="44">
        <f>E49-D49</f>
        <v>-20499.94</v>
      </c>
      <c r="G49" s="45" t="str">
        <f>IF(F49&gt;=0,"Surplus / Target Met","Pending")</f>
        <v>Pending</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A4:G4"/>
    <mergeCell ref="A16:G16"/>
    <mergeCell ref="A25:G25"/>
    <mergeCell ref="A35:G35"/>
    <mergeCell ref="A43:G43"/>
    <mergeCell ref="A49:C4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3" width="24.0"/>
    <col customWidth="1" min="4" max="4" width="22.0"/>
    <col customWidth="1" min="5" max="6" width="18.0"/>
    <col customWidth="1" min="7" max="7" width="34.0"/>
    <col customWidth="1" min="8" max="26" width="8.71"/>
  </cols>
  <sheetData>
    <row r="1">
      <c r="A1" s="1" t="s">
        <v>169</v>
      </c>
      <c r="B1" s="2"/>
      <c r="C1" s="2"/>
      <c r="D1" s="2"/>
      <c r="E1" s="2"/>
      <c r="F1" s="2"/>
      <c r="G1" s="3"/>
    </row>
    <row r="2">
      <c r="A2" s="4" t="s">
        <v>170</v>
      </c>
      <c r="B2" s="2"/>
      <c r="C2" s="2"/>
      <c r="D2" s="2"/>
      <c r="E2" s="2"/>
      <c r="F2" s="2"/>
      <c r="G2" s="3"/>
    </row>
    <row r="4">
      <c r="A4" s="28" t="s">
        <v>171</v>
      </c>
      <c r="B4" s="2"/>
      <c r="C4" s="2"/>
      <c r="D4" s="2"/>
      <c r="E4" s="2"/>
      <c r="F4" s="2"/>
      <c r="G4" s="3"/>
    </row>
    <row r="5">
      <c r="A5" s="17" t="s">
        <v>137</v>
      </c>
      <c r="B5" s="19" t="s">
        <v>172</v>
      </c>
      <c r="C5" s="19" t="s">
        <v>93</v>
      </c>
      <c r="D5" s="19" t="s">
        <v>173</v>
      </c>
      <c r="E5" s="18" t="s">
        <v>22</v>
      </c>
      <c r="F5" s="18" t="s">
        <v>174</v>
      </c>
      <c r="G5" s="17" t="s">
        <v>175</v>
      </c>
    </row>
    <row r="6">
      <c r="A6" s="20" t="s">
        <v>176</v>
      </c>
      <c r="B6" s="46">
        <v>46356.0</v>
      </c>
      <c r="C6" s="23" t="s">
        <v>177</v>
      </c>
      <c r="D6" s="23" t="s">
        <v>178</v>
      </c>
      <c r="E6" s="21">
        <v>4750.0</v>
      </c>
      <c r="F6" s="21">
        <v>0.0</v>
      </c>
      <c r="G6" s="20" t="s">
        <v>179</v>
      </c>
    </row>
    <row r="7">
      <c r="A7" s="20" t="s">
        <v>180</v>
      </c>
      <c r="B7" s="23" t="s">
        <v>181</v>
      </c>
      <c r="C7" s="23" t="s">
        <v>177</v>
      </c>
      <c r="D7" s="23" t="s">
        <v>178</v>
      </c>
      <c r="E7" s="21">
        <v>4750.0</v>
      </c>
      <c r="F7" s="21">
        <v>0.0</v>
      </c>
      <c r="G7" s="20" t="s">
        <v>179</v>
      </c>
    </row>
    <row r="8">
      <c r="A8" s="38" t="s">
        <v>182</v>
      </c>
      <c r="B8" s="46">
        <v>46356.0</v>
      </c>
      <c r="C8" s="47" t="s">
        <v>183</v>
      </c>
      <c r="D8" s="47" t="s">
        <v>184</v>
      </c>
      <c r="E8" s="37">
        <v>0.0</v>
      </c>
      <c r="F8" s="37">
        <v>0.0</v>
      </c>
      <c r="G8" s="38" t="s">
        <v>185</v>
      </c>
    </row>
    <row r="9">
      <c r="A9" s="38" t="s">
        <v>186</v>
      </c>
      <c r="B9" s="46">
        <v>46327.0</v>
      </c>
      <c r="C9" s="47" t="s">
        <v>183</v>
      </c>
      <c r="D9" s="47" t="s">
        <v>184</v>
      </c>
      <c r="E9" s="37">
        <v>0.0</v>
      </c>
      <c r="F9" s="37">
        <v>0.0</v>
      </c>
      <c r="G9" s="38" t="s">
        <v>187</v>
      </c>
    </row>
    <row r="10">
      <c r="A10" s="38" t="s">
        <v>188</v>
      </c>
      <c r="B10" s="46">
        <v>46433.0</v>
      </c>
      <c r="C10" s="47" t="s">
        <v>183</v>
      </c>
      <c r="D10" s="47" t="s">
        <v>184</v>
      </c>
      <c r="E10" s="37">
        <v>0.0</v>
      </c>
      <c r="F10" s="37">
        <v>0.0</v>
      </c>
      <c r="G10" s="38" t="s">
        <v>189</v>
      </c>
    </row>
    <row r="11">
      <c r="A11" s="24" t="s">
        <v>190</v>
      </c>
      <c r="B11" s="24"/>
      <c r="C11" s="24"/>
      <c r="D11" s="24"/>
      <c r="E11" s="25">
        <f t="shared" ref="E11:F11" si="1">SUM(E6:E10)</f>
        <v>9500</v>
      </c>
      <c r="F11" s="25">
        <f t="shared" si="1"/>
        <v>0</v>
      </c>
      <c r="G11" s="25">
        <f>E11-F11</f>
        <v>9500</v>
      </c>
    </row>
    <row r="16">
      <c r="A16" s="28" t="s">
        <v>191</v>
      </c>
      <c r="B16" s="2"/>
      <c r="C16" s="2"/>
      <c r="D16" s="2"/>
      <c r="E16" s="2"/>
      <c r="F16" s="2"/>
      <c r="G16" s="3"/>
    </row>
    <row r="17">
      <c r="A17" s="17" t="s">
        <v>192</v>
      </c>
      <c r="B17" s="19" t="s">
        <v>193</v>
      </c>
      <c r="C17" s="19" t="s">
        <v>194</v>
      </c>
      <c r="D17" s="19" t="s">
        <v>195</v>
      </c>
      <c r="E17" s="18" t="s">
        <v>22</v>
      </c>
      <c r="F17" s="18" t="s">
        <v>174</v>
      </c>
      <c r="G17" s="17" t="s">
        <v>196</v>
      </c>
    </row>
    <row r="18">
      <c r="A18" s="20" t="s">
        <v>197</v>
      </c>
      <c r="B18" s="23" t="s">
        <v>198</v>
      </c>
      <c r="C18" s="23" t="s">
        <v>199</v>
      </c>
      <c r="D18" s="23" t="s">
        <v>200</v>
      </c>
      <c r="E18" s="21">
        <v>850.0</v>
      </c>
      <c r="F18" s="21">
        <v>0.0</v>
      </c>
      <c r="G18" s="20" t="s">
        <v>201</v>
      </c>
    </row>
    <row r="19">
      <c r="A19" s="20" t="s">
        <v>202</v>
      </c>
      <c r="B19" s="23" t="s">
        <v>203</v>
      </c>
      <c r="C19" s="23" t="s">
        <v>199</v>
      </c>
      <c r="D19" s="23" t="s">
        <v>200</v>
      </c>
      <c r="E19" s="21">
        <v>900.0</v>
      </c>
      <c r="F19" s="21">
        <v>0.0</v>
      </c>
      <c r="G19" s="20" t="s">
        <v>204</v>
      </c>
    </row>
    <row r="20">
      <c r="A20" s="20" t="s">
        <v>205</v>
      </c>
      <c r="B20" s="23" t="s">
        <v>206</v>
      </c>
      <c r="C20" s="23" t="s">
        <v>207</v>
      </c>
      <c r="D20" s="23" t="s">
        <v>200</v>
      </c>
      <c r="E20" s="21">
        <v>1200.0</v>
      </c>
      <c r="F20" s="21">
        <v>0.0</v>
      </c>
      <c r="G20" s="20" t="s">
        <v>208</v>
      </c>
    </row>
    <row r="21" ht="15.75" customHeight="1">
      <c r="A21" s="20" t="s">
        <v>209</v>
      </c>
      <c r="B21" s="23" t="s">
        <v>206</v>
      </c>
      <c r="C21" s="23" t="s">
        <v>210</v>
      </c>
      <c r="D21" s="23" t="s">
        <v>200</v>
      </c>
      <c r="E21" s="21">
        <v>850.0</v>
      </c>
      <c r="F21" s="21">
        <v>0.0</v>
      </c>
      <c r="G21" s="20" t="s">
        <v>211</v>
      </c>
    </row>
    <row r="22" ht="15.75" customHeight="1">
      <c r="A22" s="24" t="s">
        <v>212</v>
      </c>
      <c r="B22" s="24"/>
      <c r="C22" s="24"/>
      <c r="D22" s="24"/>
      <c r="E22" s="25">
        <f t="shared" ref="E22:F22" si="2">SUM(E18:E21)</f>
        <v>3800</v>
      </c>
      <c r="F22" s="25">
        <f t="shared" si="2"/>
        <v>0</v>
      </c>
      <c r="G22" s="25">
        <f>E22-F22</f>
        <v>3800</v>
      </c>
    </row>
    <row r="23" ht="15.75" customHeight="1"/>
    <row r="24" ht="15.75" customHeight="1"/>
    <row r="25" ht="15.75" customHeight="1"/>
    <row r="26" ht="15.75" customHeight="1">
      <c r="A26" s="28" t="s">
        <v>213</v>
      </c>
      <c r="B26" s="2"/>
      <c r="C26" s="2"/>
      <c r="D26" s="2"/>
      <c r="E26" s="2"/>
      <c r="F26" s="2"/>
      <c r="G26" s="3"/>
    </row>
    <row r="27" ht="15.75" customHeight="1">
      <c r="A27" s="17" t="s">
        <v>214</v>
      </c>
      <c r="B27" s="19" t="s">
        <v>215</v>
      </c>
      <c r="C27" s="19" t="s">
        <v>216</v>
      </c>
      <c r="D27" s="19" t="s">
        <v>217</v>
      </c>
      <c r="E27" s="18" t="s">
        <v>22</v>
      </c>
      <c r="F27" s="18" t="s">
        <v>174</v>
      </c>
      <c r="G27" s="17" t="s">
        <v>175</v>
      </c>
    </row>
    <row r="28" ht="15.75" customHeight="1">
      <c r="A28" s="20" t="s">
        <v>218</v>
      </c>
      <c r="B28" s="23" t="s">
        <v>219</v>
      </c>
      <c r="C28" s="23" t="s">
        <v>220</v>
      </c>
      <c r="D28" s="23" t="s">
        <v>221</v>
      </c>
      <c r="E28" s="21">
        <v>990.0</v>
      </c>
      <c r="F28" s="21">
        <v>0.0</v>
      </c>
      <c r="G28" s="20" t="s">
        <v>222</v>
      </c>
    </row>
    <row r="29" ht="15.75" customHeight="1">
      <c r="A29" s="20" t="s">
        <v>223</v>
      </c>
      <c r="B29" s="23" t="s">
        <v>224</v>
      </c>
      <c r="C29" s="23" t="s">
        <v>225</v>
      </c>
      <c r="D29" s="23" t="s">
        <v>226</v>
      </c>
      <c r="E29" s="21">
        <v>516.0</v>
      </c>
      <c r="F29" s="21">
        <v>0.0</v>
      </c>
      <c r="G29" s="20" t="s">
        <v>227</v>
      </c>
    </row>
    <row r="30" ht="15.75" customHeight="1">
      <c r="A30" s="20" t="s">
        <v>228</v>
      </c>
      <c r="B30" s="23" t="s">
        <v>229</v>
      </c>
      <c r="C30" s="23" t="s">
        <v>230</v>
      </c>
      <c r="D30" s="23" t="s">
        <v>226</v>
      </c>
      <c r="E30" s="21">
        <v>180.0</v>
      </c>
      <c r="F30" s="21">
        <v>0.0</v>
      </c>
      <c r="G30" s="20" t="s">
        <v>231</v>
      </c>
    </row>
    <row r="31" ht="15.75" customHeight="1">
      <c r="A31" s="20" t="s">
        <v>232</v>
      </c>
      <c r="B31" s="23" t="s">
        <v>233</v>
      </c>
      <c r="C31" s="23" t="s">
        <v>234</v>
      </c>
      <c r="D31" s="23" t="s">
        <v>226</v>
      </c>
      <c r="E31" s="21">
        <v>60.0</v>
      </c>
      <c r="F31" s="21">
        <v>0.0</v>
      </c>
      <c r="G31" s="20" t="s">
        <v>235</v>
      </c>
    </row>
    <row r="32" ht="15.75" customHeight="1">
      <c r="A32" s="24" t="s">
        <v>236</v>
      </c>
      <c r="B32" s="24"/>
      <c r="C32" s="24"/>
      <c r="D32" s="24"/>
      <c r="E32" s="25">
        <f t="shared" ref="E32:F32" si="3">SUM(E28:E31)</f>
        <v>1746</v>
      </c>
      <c r="F32" s="25">
        <f t="shared" si="3"/>
        <v>0</v>
      </c>
      <c r="G32" s="25">
        <f>E32-F32</f>
        <v>1746</v>
      </c>
    </row>
    <row r="33" ht="15.75" customHeight="1"/>
    <row r="34" ht="15.75" customHeight="1"/>
    <row r="35" ht="15.75" customHeight="1">
      <c r="A35" s="28" t="s">
        <v>237</v>
      </c>
      <c r="B35" s="2"/>
      <c r="C35" s="2"/>
      <c r="D35" s="2"/>
      <c r="E35" s="2"/>
      <c r="F35" s="2"/>
      <c r="G35" s="3"/>
    </row>
    <row r="36" ht="15.75" customHeight="1">
      <c r="A36" s="17" t="s">
        <v>238</v>
      </c>
      <c r="B36" s="19" t="s">
        <v>239</v>
      </c>
      <c r="C36" s="19" t="s">
        <v>240</v>
      </c>
      <c r="D36" s="19" t="s">
        <v>241</v>
      </c>
      <c r="E36" s="18" t="s">
        <v>22</v>
      </c>
      <c r="F36" s="18" t="s">
        <v>174</v>
      </c>
      <c r="G36" s="17" t="s">
        <v>242</v>
      </c>
    </row>
    <row r="37" ht="15.75" customHeight="1">
      <c r="A37" s="38" t="s">
        <v>243</v>
      </c>
      <c r="B37" s="47" t="s">
        <v>244</v>
      </c>
      <c r="C37" s="47" t="s">
        <v>245</v>
      </c>
      <c r="D37" s="47" t="s">
        <v>246</v>
      </c>
      <c r="E37" s="37">
        <v>550.0</v>
      </c>
      <c r="F37" s="37">
        <v>0.0</v>
      </c>
      <c r="G37" s="38" t="s">
        <v>247</v>
      </c>
    </row>
    <row r="38" ht="15.75" customHeight="1">
      <c r="A38" s="20" t="s">
        <v>248</v>
      </c>
      <c r="B38" s="23" t="s">
        <v>249</v>
      </c>
      <c r="C38" s="23" t="s">
        <v>250</v>
      </c>
      <c r="D38" s="23" t="s">
        <v>251</v>
      </c>
      <c r="E38" s="21">
        <v>200.0</v>
      </c>
      <c r="F38" s="21">
        <v>0.0</v>
      </c>
      <c r="G38" s="20" t="s">
        <v>252</v>
      </c>
    </row>
    <row r="39" ht="15.75" customHeight="1">
      <c r="A39" s="20" t="s">
        <v>253</v>
      </c>
      <c r="B39" s="23" t="s">
        <v>254</v>
      </c>
      <c r="C39" s="23" t="s">
        <v>255</v>
      </c>
      <c r="D39" s="23" t="s">
        <v>256</v>
      </c>
      <c r="E39" s="21">
        <v>250.0</v>
      </c>
      <c r="F39" s="21">
        <v>0.0</v>
      </c>
      <c r="G39" s="20" t="s">
        <v>257</v>
      </c>
    </row>
    <row r="40" ht="15.75" customHeight="1">
      <c r="A40" s="38" t="s">
        <v>258</v>
      </c>
      <c r="B40" s="47" t="s">
        <v>259</v>
      </c>
      <c r="C40" s="47" t="s">
        <v>260</v>
      </c>
      <c r="D40" s="47" t="s">
        <v>183</v>
      </c>
      <c r="E40" s="37">
        <v>0.0</v>
      </c>
      <c r="F40" s="37">
        <v>0.0</v>
      </c>
      <c r="G40" s="38" t="s">
        <v>261</v>
      </c>
    </row>
    <row r="41" ht="15.75" customHeight="1">
      <c r="A41" s="20" t="s">
        <v>262</v>
      </c>
      <c r="B41" s="23" t="s">
        <v>263</v>
      </c>
      <c r="C41" s="23" t="s">
        <v>264</v>
      </c>
      <c r="D41" s="23" t="s">
        <v>265</v>
      </c>
      <c r="E41" s="21">
        <v>100.0</v>
      </c>
      <c r="F41" s="21">
        <v>0.0</v>
      </c>
      <c r="G41" s="20" t="s">
        <v>266</v>
      </c>
    </row>
    <row r="42" ht="15.75" customHeight="1">
      <c r="A42" s="20" t="s">
        <v>267</v>
      </c>
      <c r="B42" s="23" t="s">
        <v>268</v>
      </c>
      <c r="C42" s="23" t="s">
        <v>269</v>
      </c>
      <c r="D42" s="23" t="s">
        <v>270</v>
      </c>
      <c r="E42" s="21">
        <v>120.0</v>
      </c>
      <c r="F42" s="21">
        <v>0.0</v>
      </c>
      <c r="G42" s="20" t="s">
        <v>271</v>
      </c>
    </row>
    <row r="43" ht="15.75" customHeight="1">
      <c r="A43" s="24" t="s">
        <v>272</v>
      </c>
      <c r="B43" s="24"/>
      <c r="C43" s="24"/>
      <c r="D43" s="24"/>
      <c r="E43" s="25">
        <f t="shared" ref="E43:F43" si="4">SUM(E37:E42)</f>
        <v>1220</v>
      </c>
      <c r="F43" s="25">
        <f t="shared" si="4"/>
        <v>0</v>
      </c>
      <c r="G43" s="25">
        <f>E43-F43</f>
        <v>1220</v>
      </c>
    </row>
    <row r="44" ht="15.75" customHeight="1"/>
    <row r="45" ht="15.75" customHeight="1">
      <c r="A45" s="28" t="s">
        <v>273</v>
      </c>
      <c r="B45" s="2"/>
      <c r="C45" s="2"/>
      <c r="D45" s="2"/>
      <c r="E45" s="2"/>
      <c r="F45" s="2"/>
      <c r="G45" s="3"/>
    </row>
    <row r="46" ht="15.75" customHeight="1">
      <c r="A46" s="17" t="s">
        <v>274</v>
      </c>
      <c r="B46" s="19" t="s">
        <v>275</v>
      </c>
      <c r="C46" s="19" t="s">
        <v>276</v>
      </c>
      <c r="D46" s="19" t="s">
        <v>277</v>
      </c>
      <c r="E46" s="18" t="s">
        <v>22</v>
      </c>
      <c r="F46" s="18" t="s">
        <v>174</v>
      </c>
      <c r="G46" s="17" t="s">
        <v>242</v>
      </c>
    </row>
    <row r="47" ht="15.75" customHeight="1">
      <c r="A47" s="20" t="s">
        <v>278</v>
      </c>
      <c r="B47" s="23" t="s">
        <v>203</v>
      </c>
      <c r="C47" s="23" t="s">
        <v>279</v>
      </c>
      <c r="D47" s="23" t="s">
        <v>280</v>
      </c>
      <c r="E47" s="21">
        <v>450.0</v>
      </c>
      <c r="F47" s="21">
        <v>0.0</v>
      </c>
      <c r="G47" s="20" t="s">
        <v>281</v>
      </c>
    </row>
    <row r="48" ht="15.75" customHeight="1">
      <c r="A48" s="20" t="s">
        <v>282</v>
      </c>
      <c r="B48" s="23" t="s">
        <v>283</v>
      </c>
      <c r="C48" s="23" t="s">
        <v>284</v>
      </c>
      <c r="D48" s="23" t="s">
        <v>280</v>
      </c>
      <c r="E48" s="21">
        <v>500.0</v>
      </c>
      <c r="F48" s="21">
        <v>0.0</v>
      </c>
      <c r="G48" s="20" t="s">
        <v>285</v>
      </c>
    </row>
    <row r="49" ht="15.75" customHeight="1">
      <c r="A49" s="20" t="s">
        <v>286</v>
      </c>
      <c r="B49" s="23" t="s">
        <v>287</v>
      </c>
      <c r="C49" s="23" t="s">
        <v>288</v>
      </c>
      <c r="D49" s="23" t="s">
        <v>289</v>
      </c>
      <c r="E49" s="21">
        <v>250.0</v>
      </c>
      <c r="F49" s="21">
        <v>0.0</v>
      </c>
      <c r="G49" s="20" t="s">
        <v>290</v>
      </c>
    </row>
    <row r="50" ht="15.75" customHeight="1">
      <c r="A50" s="20" t="s">
        <v>291</v>
      </c>
      <c r="B50" s="23" t="s">
        <v>292</v>
      </c>
      <c r="C50" s="23" t="s">
        <v>293</v>
      </c>
      <c r="D50" s="23" t="s">
        <v>294</v>
      </c>
      <c r="E50" s="21">
        <v>150.0</v>
      </c>
      <c r="F50" s="21">
        <v>0.0</v>
      </c>
      <c r="G50" s="20" t="s">
        <v>295</v>
      </c>
    </row>
    <row r="51" ht="15.75" customHeight="1">
      <c r="A51" s="24" t="s">
        <v>296</v>
      </c>
      <c r="B51" s="24"/>
      <c r="C51" s="24"/>
      <c r="D51" s="24"/>
      <c r="E51" s="25">
        <f t="shared" ref="E51:F51" si="5">SUM(E47:E50)</f>
        <v>1350</v>
      </c>
      <c r="F51" s="25">
        <f t="shared" si="5"/>
        <v>0</v>
      </c>
      <c r="G51" s="25">
        <f>E51-F51</f>
        <v>1350</v>
      </c>
    </row>
    <row r="52" ht="15.75" customHeight="1"/>
    <row r="53" ht="15.75" customHeight="1"/>
    <row r="54" ht="15.75" customHeight="1">
      <c r="A54" s="36" t="s">
        <v>297</v>
      </c>
      <c r="B54" s="2"/>
      <c r="C54" s="2"/>
      <c r="D54" s="2"/>
      <c r="E54" s="2"/>
      <c r="F54" s="2"/>
      <c r="G54" s="3"/>
    </row>
    <row r="55" ht="15.75" customHeight="1">
      <c r="A55" s="17" t="s">
        <v>298</v>
      </c>
      <c r="B55" s="19" t="s">
        <v>299</v>
      </c>
      <c r="C55" s="19" t="s">
        <v>300</v>
      </c>
      <c r="D55" s="19" t="s">
        <v>173</v>
      </c>
      <c r="E55" s="18" t="s">
        <v>22</v>
      </c>
      <c r="F55" s="18" t="s">
        <v>174</v>
      </c>
      <c r="G55" s="17" t="s">
        <v>27</v>
      </c>
    </row>
    <row r="56" ht="15.75" customHeight="1">
      <c r="A56" s="38" t="s">
        <v>301</v>
      </c>
      <c r="B56" s="47" t="s">
        <v>302</v>
      </c>
      <c r="C56" s="47" t="s">
        <v>303</v>
      </c>
      <c r="D56" s="47" t="s">
        <v>304</v>
      </c>
      <c r="E56" s="37">
        <v>15.0</v>
      </c>
      <c r="F56" s="37">
        <v>0.0</v>
      </c>
      <c r="G56" s="38" t="s">
        <v>305</v>
      </c>
    </row>
    <row r="57" ht="15.75" customHeight="1">
      <c r="A57" s="38" t="s">
        <v>306</v>
      </c>
      <c r="B57" s="47" t="s">
        <v>150</v>
      </c>
      <c r="C57" s="47" t="s">
        <v>307</v>
      </c>
      <c r="D57" s="47" t="s">
        <v>134</v>
      </c>
      <c r="E57" s="37">
        <v>0.0</v>
      </c>
      <c r="F57" s="37">
        <v>0.0</v>
      </c>
      <c r="G57" s="38" t="s">
        <v>308</v>
      </c>
    </row>
    <row r="58" ht="15.75" customHeight="1">
      <c r="A58" s="38" t="s">
        <v>309</v>
      </c>
      <c r="B58" s="47" t="s">
        <v>310</v>
      </c>
      <c r="C58" s="47" t="s">
        <v>311</v>
      </c>
      <c r="D58" s="47" t="s">
        <v>312</v>
      </c>
      <c r="E58" s="37">
        <v>318.94</v>
      </c>
      <c r="F58" s="37">
        <v>0.0</v>
      </c>
      <c r="G58" s="38" t="s">
        <v>313</v>
      </c>
    </row>
    <row r="59" ht="15.75" customHeight="1">
      <c r="A59" s="24" t="s">
        <v>314</v>
      </c>
      <c r="B59" s="24"/>
      <c r="C59" s="24"/>
      <c r="D59" s="24"/>
      <c r="E59" s="25">
        <f t="shared" ref="E59:F59" si="6">SUM(E56:E58)</f>
        <v>333.94</v>
      </c>
      <c r="F59" s="25">
        <f t="shared" si="6"/>
        <v>0</v>
      </c>
      <c r="G59" s="25">
        <f>E59-F59</f>
        <v>333.94</v>
      </c>
    </row>
    <row r="60" ht="15.75" customHeight="1"/>
    <row r="61" ht="15.75" customHeight="1"/>
    <row r="62" ht="15.75" customHeight="1">
      <c r="A62" s="28" t="s">
        <v>315</v>
      </c>
      <c r="B62" s="2"/>
      <c r="C62" s="2"/>
      <c r="D62" s="2"/>
      <c r="E62" s="2"/>
      <c r="F62" s="2"/>
      <c r="G62" s="3"/>
    </row>
    <row r="63" ht="15.75" customHeight="1">
      <c r="A63" s="17" t="s">
        <v>316</v>
      </c>
      <c r="B63" s="19" t="s">
        <v>317</v>
      </c>
      <c r="C63" s="19" t="s">
        <v>318</v>
      </c>
      <c r="D63" s="19" t="s">
        <v>173</v>
      </c>
      <c r="E63" s="18" t="s">
        <v>22</v>
      </c>
      <c r="F63" s="18" t="s">
        <v>174</v>
      </c>
      <c r="G63" s="17" t="s">
        <v>156</v>
      </c>
    </row>
    <row r="64" ht="15.75" customHeight="1">
      <c r="A64" s="20" t="s">
        <v>319</v>
      </c>
      <c r="B64" s="23" t="s">
        <v>320</v>
      </c>
      <c r="C64" s="23" t="s">
        <v>321</v>
      </c>
      <c r="D64" s="23" t="s">
        <v>322</v>
      </c>
      <c r="E64" s="21">
        <v>2550.0</v>
      </c>
      <c r="F64" s="21">
        <v>0.0</v>
      </c>
      <c r="G64" s="20" t="s">
        <v>323</v>
      </c>
    </row>
    <row r="65" ht="15.75" customHeight="1">
      <c r="A65" s="24" t="s">
        <v>324</v>
      </c>
      <c r="B65" s="24"/>
      <c r="C65" s="24"/>
      <c r="D65" s="24"/>
      <c r="E65" s="25">
        <f t="shared" ref="E65:F65" si="7">SUM(E64)</f>
        <v>2550</v>
      </c>
      <c r="F65" s="25">
        <f t="shared" si="7"/>
        <v>0</v>
      </c>
      <c r="G65" s="25">
        <f>E65-F65</f>
        <v>2550</v>
      </c>
    </row>
    <row r="66" ht="15.75" customHeight="1"/>
    <row r="67" ht="15.75" customHeight="1"/>
    <row r="68" ht="15.75" customHeight="1">
      <c r="A68" s="48" t="s">
        <v>325</v>
      </c>
      <c r="B68" s="42"/>
      <c r="C68" s="42"/>
      <c r="D68" s="43"/>
      <c r="E68" s="49">
        <f t="shared" ref="E68:F68" si="8">E11+E22+E32+E43+E51+E59+E65</f>
        <v>20499.94</v>
      </c>
      <c r="F68" s="49">
        <f t="shared" si="8"/>
        <v>0</v>
      </c>
      <c r="G68" s="49">
        <f>E68-F68</f>
        <v>20499.94</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54:G54"/>
    <mergeCell ref="A62:G62"/>
    <mergeCell ref="A68:D68"/>
    <mergeCell ref="A1:G1"/>
    <mergeCell ref="A2:G2"/>
    <mergeCell ref="A4:G4"/>
    <mergeCell ref="A16:G16"/>
    <mergeCell ref="A26:G26"/>
    <mergeCell ref="A35:G35"/>
    <mergeCell ref="A45:G4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0.0"/>
    <col customWidth="1" min="3" max="3" width="26.0"/>
    <col customWidth="1" min="4" max="4" width="28.0"/>
    <col customWidth="1" min="5" max="5" width="20.0"/>
    <col customWidth="1" min="6" max="6" width="38.0"/>
    <col customWidth="1" min="7" max="26" width="8.71"/>
  </cols>
  <sheetData>
    <row r="1">
      <c r="A1" s="1" t="s">
        <v>326</v>
      </c>
      <c r="B1" s="2"/>
      <c r="C1" s="2"/>
      <c r="D1" s="2"/>
      <c r="E1" s="2"/>
      <c r="F1" s="3"/>
    </row>
    <row r="2">
      <c r="A2" s="4" t="s">
        <v>327</v>
      </c>
      <c r="B2" s="2"/>
      <c r="C2" s="2"/>
      <c r="D2" s="2"/>
      <c r="E2" s="2"/>
      <c r="F2" s="3"/>
    </row>
    <row r="3" ht="24.0" customHeight="1">
      <c r="A3" s="50" t="s">
        <v>328</v>
      </c>
      <c r="B3" s="51"/>
      <c r="C3" s="51"/>
      <c r="D3" s="51"/>
      <c r="E3" s="51"/>
      <c r="F3" s="52"/>
    </row>
    <row r="4">
      <c r="A4" s="5" t="s">
        <v>329</v>
      </c>
      <c r="B4" s="35" t="str">
        <f>'Budget Summary'!$B$4</f>
        <v>[Enter Team Name - e.g., Truro Bearcats U13 A]</v>
      </c>
      <c r="D4" s="5" t="s">
        <v>13</v>
      </c>
      <c r="E4" s="35" t="str">
        <f>'Budget Summary'!$B$6</f>
        <v>[Enter 9-Digit Account #]</v>
      </c>
    </row>
    <row r="5">
      <c r="A5" s="5" t="s">
        <v>330</v>
      </c>
      <c r="B5" s="35" t="s">
        <v>331</v>
      </c>
      <c r="D5" s="5" t="s">
        <v>332</v>
      </c>
      <c r="E5" s="35" t="str">
        <f>'Budget Summary'!$G$5</f>
        <v>[Team Treasurer Full Name]</v>
      </c>
    </row>
    <row r="7">
      <c r="A7" s="53" t="s">
        <v>333</v>
      </c>
      <c r="B7" s="2"/>
      <c r="C7" s="2"/>
      <c r="D7" s="3"/>
      <c r="E7" s="54">
        <v>0.0</v>
      </c>
    </row>
    <row r="9">
      <c r="A9" s="28" t="s">
        <v>334</v>
      </c>
      <c r="B9" s="2"/>
      <c r="C9" s="2"/>
      <c r="D9" s="2"/>
      <c r="E9" s="2"/>
      <c r="F9" s="3"/>
    </row>
    <row r="10">
      <c r="A10" s="17" t="s">
        <v>335</v>
      </c>
      <c r="B10" s="19" t="s">
        <v>336</v>
      </c>
      <c r="C10" s="17" t="s">
        <v>337</v>
      </c>
      <c r="D10" s="19" t="s">
        <v>93</v>
      </c>
      <c r="E10" s="18" t="s">
        <v>338</v>
      </c>
      <c r="F10" s="17" t="s">
        <v>339</v>
      </c>
    </row>
    <row r="11">
      <c r="A11" s="20" t="s">
        <v>340</v>
      </c>
      <c r="B11" s="23" t="s">
        <v>341</v>
      </c>
      <c r="C11" s="20" t="s">
        <v>342</v>
      </c>
      <c r="D11" s="23" t="s">
        <v>343</v>
      </c>
      <c r="E11" s="21">
        <v>0.0</v>
      </c>
      <c r="F11" s="20" t="s">
        <v>344</v>
      </c>
    </row>
    <row r="12">
      <c r="A12" s="20" t="s">
        <v>345</v>
      </c>
      <c r="B12" s="23" t="s">
        <v>341</v>
      </c>
      <c r="C12" s="20" t="s">
        <v>342</v>
      </c>
      <c r="D12" s="23" t="s">
        <v>343</v>
      </c>
      <c r="E12" s="21">
        <v>0.0</v>
      </c>
      <c r="F12" s="20" t="s">
        <v>344</v>
      </c>
    </row>
    <row r="13">
      <c r="A13" s="20" t="s">
        <v>346</v>
      </c>
      <c r="B13" s="23" t="s">
        <v>341</v>
      </c>
      <c r="C13" s="20" t="s">
        <v>342</v>
      </c>
      <c r="D13" s="23" t="s">
        <v>343</v>
      </c>
      <c r="E13" s="21">
        <v>0.0</v>
      </c>
      <c r="F13" s="20" t="s">
        <v>344</v>
      </c>
    </row>
    <row r="14">
      <c r="A14" s="20"/>
      <c r="B14" s="23"/>
      <c r="C14" s="20"/>
      <c r="D14" s="23"/>
      <c r="E14" s="21">
        <v>0.0</v>
      </c>
      <c r="F14" s="20"/>
    </row>
    <row r="15">
      <c r="A15" s="20"/>
      <c r="B15" s="23"/>
      <c r="C15" s="20"/>
      <c r="D15" s="23"/>
      <c r="E15" s="21">
        <v>0.0</v>
      </c>
      <c r="F15" s="20"/>
    </row>
    <row r="16">
      <c r="A16" s="55" t="s">
        <v>347</v>
      </c>
      <c r="B16" s="42"/>
      <c r="C16" s="42"/>
      <c r="D16" s="43"/>
      <c r="E16" s="25">
        <f>SUM(E11:E15)</f>
        <v>0</v>
      </c>
      <c r="F16" s="24"/>
    </row>
    <row r="18">
      <c r="A18" s="28" t="s">
        <v>348</v>
      </c>
      <c r="B18" s="2"/>
      <c r="C18" s="2"/>
      <c r="D18" s="2"/>
      <c r="E18" s="2"/>
      <c r="F18" s="3"/>
    </row>
    <row r="19">
      <c r="A19" s="19" t="s">
        <v>349</v>
      </c>
      <c r="B19" s="19" t="s">
        <v>350</v>
      </c>
      <c r="C19" s="17" t="s">
        <v>351</v>
      </c>
      <c r="D19" s="17" t="s">
        <v>352</v>
      </c>
      <c r="E19" s="18" t="s">
        <v>338</v>
      </c>
      <c r="F19" s="19" t="s">
        <v>26</v>
      </c>
    </row>
    <row r="20">
      <c r="A20" s="23" t="s">
        <v>353</v>
      </c>
      <c r="B20" s="23" t="s">
        <v>341</v>
      </c>
      <c r="C20" s="20" t="s">
        <v>354</v>
      </c>
      <c r="D20" s="20" t="s">
        <v>355</v>
      </c>
      <c r="E20" s="21">
        <v>0.0</v>
      </c>
      <c r="F20" s="23" t="s">
        <v>356</v>
      </c>
    </row>
    <row r="21" ht="15.75" customHeight="1">
      <c r="A21" s="23" t="s">
        <v>357</v>
      </c>
      <c r="B21" s="23" t="s">
        <v>341</v>
      </c>
      <c r="C21" s="20" t="s">
        <v>354</v>
      </c>
      <c r="D21" s="20" t="s">
        <v>355</v>
      </c>
      <c r="E21" s="21">
        <v>0.0</v>
      </c>
      <c r="F21" s="23" t="s">
        <v>356</v>
      </c>
    </row>
    <row r="22" ht="15.75" customHeight="1">
      <c r="A22" s="23" t="s">
        <v>358</v>
      </c>
      <c r="B22" s="23" t="s">
        <v>341</v>
      </c>
      <c r="C22" s="20" t="s">
        <v>354</v>
      </c>
      <c r="D22" s="20" t="s">
        <v>355</v>
      </c>
      <c r="E22" s="21">
        <v>0.0</v>
      </c>
      <c r="F22" s="23" t="s">
        <v>356</v>
      </c>
    </row>
    <row r="23" ht="15.75" customHeight="1">
      <c r="A23" s="23"/>
      <c r="B23" s="23"/>
      <c r="C23" s="20"/>
      <c r="D23" s="20"/>
      <c r="E23" s="21">
        <v>0.0</v>
      </c>
      <c r="F23" s="23"/>
    </row>
    <row r="24" ht="15.75" customHeight="1">
      <c r="A24" s="23"/>
      <c r="B24" s="23"/>
      <c r="C24" s="20"/>
      <c r="D24" s="20"/>
      <c r="E24" s="21">
        <v>0.0</v>
      </c>
      <c r="F24" s="23"/>
    </row>
    <row r="25" ht="15.75" customHeight="1">
      <c r="A25" s="23"/>
      <c r="B25" s="23"/>
      <c r="C25" s="20"/>
      <c r="D25" s="20"/>
      <c r="E25" s="21">
        <v>0.0</v>
      </c>
      <c r="F25" s="23"/>
    </row>
    <row r="26" ht="15.75" customHeight="1">
      <c r="A26" s="55" t="s">
        <v>359</v>
      </c>
      <c r="B26" s="42"/>
      <c r="C26" s="42"/>
      <c r="D26" s="43"/>
      <c r="E26" s="25">
        <f>SUM(E20:E25)</f>
        <v>0</v>
      </c>
      <c r="F26" s="24"/>
    </row>
    <row r="27" ht="15.75" customHeight="1"/>
    <row r="28" ht="15.75" customHeight="1">
      <c r="A28" s="56" t="s">
        <v>360</v>
      </c>
      <c r="B28" s="57"/>
      <c r="C28" s="57"/>
      <c r="D28" s="58"/>
      <c r="E28" s="59">
        <f>E7+E16-E26</f>
        <v>0</v>
      </c>
      <c r="F28" s="5"/>
    </row>
    <row r="29" ht="15.75" customHeight="1">
      <c r="A29" s="56" t="s">
        <v>361</v>
      </c>
      <c r="B29" s="57"/>
      <c r="C29" s="57"/>
      <c r="D29" s="58"/>
      <c r="E29" s="59">
        <f>'Budget Summary'!C21-'Budget Summary'!C36</f>
        <v>0</v>
      </c>
      <c r="F29" s="5"/>
    </row>
    <row r="30" ht="15.75" customHeight="1">
      <c r="A30" s="41" t="s">
        <v>362</v>
      </c>
      <c r="B30" s="42"/>
      <c r="C30" s="42"/>
      <c r="D30" s="43"/>
      <c r="E30" s="44">
        <f>E28-E29</f>
        <v>0</v>
      </c>
      <c r="F30" s="60" t="str">
        <f>IF(ROUND(E30,2)=0,"✅ BALANCED - PERFECT RECONCILIATION","⚠️ OUT OF BALANCE")</f>
        <v>✅ BALANCED - PERFECT RECONCILIATION</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26:D26"/>
    <mergeCell ref="A28:D28"/>
    <mergeCell ref="A29:D29"/>
    <mergeCell ref="A30:D30"/>
    <mergeCell ref="A1:F1"/>
    <mergeCell ref="A2:F2"/>
    <mergeCell ref="A3:F3"/>
    <mergeCell ref="A7:D7"/>
    <mergeCell ref="A9:F9"/>
    <mergeCell ref="A16:D16"/>
    <mergeCell ref="A18:F1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4" width="28.0"/>
    <col customWidth="1" min="5" max="5" width="20.0"/>
    <col customWidth="1" min="6" max="8" width="22.0"/>
    <col customWidth="1" min="9" max="10" width="18.0"/>
    <col customWidth="1" min="11" max="11" width="32.0"/>
    <col customWidth="1" min="12" max="26" width="8.71"/>
  </cols>
  <sheetData>
    <row r="1">
      <c r="A1" s="1" t="s">
        <v>363</v>
      </c>
      <c r="B1" s="2"/>
      <c r="C1" s="2"/>
      <c r="D1" s="2"/>
      <c r="E1" s="2"/>
      <c r="F1" s="2"/>
      <c r="G1" s="2"/>
      <c r="H1" s="2"/>
      <c r="I1" s="2"/>
      <c r="J1" s="2"/>
      <c r="K1" s="3"/>
    </row>
    <row r="2">
      <c r="A2" s="4" t="s">
        <v>364</v>
      </c>
      <c r="B2" s="2"/>
      <c r="C2" s="2"/>
      <c r="D2" s="2"/>
      <c r="E2" s="2"/>
      <c r="F2" s="2"/>
      <c r="G2" s="2"/>
      <c r="H2" s="2"/>
      <c r="I2" s="2"/>
      <c r="J2" s="2"/>
      <c r="K2" s="3"/>
    </row>
    <row r="3" ht="24.0" customHeight="1">
      <c r="A3" s="50" t="s">
        <v>365</v>
      </c>
      <c r="B3" s="51"/>
      <c r="C3" s="51"/>
      <c r="D3" s="51"/>
      <c r="E3" s="51"/>
      <c r="F3" s="51"/>
      <c r="G3" s="51"/>
      <c r="H3" s="51"/>
      <c r="I3" s="51"/>
      <c r="J3" s="51"/>
      <c r="K3" s="52"/>
    </row>
    <row r="4">
      <c r="A4" s="19" t="s">
        <v>366</v>
      </c>
      <c r="B4" s="17" t="s">
        <v>367</v>
      </c>
      <c r="C4" s="17" t="s">
        <v>368</v>
      </c>
      <c r="D4" s="17" t="s">
        <v>369</v>
      </c>
      <c r="E4" s="18" t="s">
        <v>370</v>
      </c>
      <c r="F4" s="18" t="s">
        <v>371</v>
      </c>
      <c r="G4" s="18" t="s">
        <v>372</v>
      </c>
      <c r="H4" s="18" t="s">
        <v>373</v>
      </c>
      <c r="I4" s="18" t="s">
        <v>374</v>
      </c>
      <c r="J4" s="18" t="s">
        <v>375</v>
      </c>
      <c r="K4" s="19" t="s">
        <v>376</v>
      </c>
    </row>
    <row r="5">
      <c r="A5" s="23" t="s">
        <v>377</v>
      </c>
      <c r="B5" s="20" t="s">
        <v>378</v>
      </c>
      <c r="C5" s="20" t="s">
        <v>379</v>
      </c>
      <c r="D5" s="20" t="s">
        <v>380</v>
      </c>
      <c r="E5" s="61">
        <v>0.0</v>
      </c>
      <c r="F5" s="61">
        <v>0.0</v>
      </c>
      <c r="G5" s="61">
        <v>0.0</v>
      </c>
      <c r="H5" s="61">
        <v>0.0</v>
      </c>
      <c r="I5" s="61">
        <f t="shared" ref="I5:I21" si="1">SUM(E5:H5)</f>
        <v>0</v>
      </c>
      <c r="J5" s="61">
        <f>IF(B5="","",(Income!$B$37+Income!$B$27+Income!$B$28+Income!$B$29)-I5)</f>
        <v>808.82</v>
      </c>
      <c r="K5" s="23" t="s">
        <v>100</v>
      </c>
    </row>
    <row r="6">
      <c r="A6" s="23" t="s">
        <v>381</v>
      </c>
      <c r="B6" s="20" t="s">
        <v>382</v>
      </c>
      <c r="C6" s="20" t="s">
        <v>383</v>
      </c>
      <c r="D6" s="20" t="s">
        <v>384</v>
      </c>
      <c r="E6" s="61">
        <v>0.0</v>
      </c>
      <c r="F6" s="61">
        <v>0.0</v>
      </c>
      <c r="G6" s="61">
        <v>0.0</v>
      </c>
      <c r="H6" s="61">
        <v>0.0</v>
      </c>
      <c r="I6" s="61">
        <f t="shared" si="1"/>
        <v>0</v>
      </c>
      <c r="J6" s="61">
        <f>IF(B6="","",(Income!$B$37+Income!$B$27+Income!$B$28+Income!$B$29)-I6)</f>
        <v>808.82</v>
      </c>
      <c r="K6" s="23" t="s">
        <v>100</v>
      </c>
    </row>
    <row r="7">
      <c r="A7" s="23" t="s">
        <v>385</v>
      </c>
      <c r="B7" s="20" t="s">
        <v>386</v>
      </c>
      <c r="C7" s="20" t="s">
        <v>387</v>
      </c>
      <c r="D7" s="20" t="s">
        <v>388</v>
      </c>
      <c r="E7" s="61">
        <v>0.0</v>
      </c>
      <c r="F7" s="61">
        <v>0.0</v>
      </c>
      <c r="G7" s="61">
        <v>0.0</v>
      </c>
      <c r="H7" s="61">
        <v>0.0</v>
      </c>
      <c r="I7" s="61">
        <f t="shared" si="1"/>
        <v>0</v>
      </c>
      <c r="J7" s="61">
        <f>IF(B7="","",(Income!$B$37+Income!$B$27+Income!$B$28+Income!$B$29)-I7)</f>
        <v>808.82</v>
      </c>
      <c r="K7" s="23" t="s">
        <v>100</v>
      </c>
    </row>
    <row r="8">
      <c r="A8" s="23" t="s">
        <v>389</v>
      </c>
      <c r="B8" s="20" t="s">
        <v>390</v>
      </c>
      <c r="C8" s="20" t="s">
        <v>391</v>
      </c>
      <c r="D8" s="20" t="s">
        <v>392</v>
      </c>
      <c r="E8" s="61">
        <v>0.0</v>
      </c>
      <c r="F8" s="61">
        <v>0.0</v>
      </c>
      <c r="G8" s="61">
        <v>0.0</v>
      </c>
      <c r="H8" s="61">
        <v>0.0</v>
      </c>
      <c r="I8" s="61">
        <f t="shared" si="1"/>
        <v>0</v>
      </c>
      <c r="J8" s="61">
        <f>IF(B8="","",(Income!$B$37+Income!$B$27+Income!$B$28+Income!$B$29)-I8)</f>
        <v>808.82</v>
      </c>
      <c r="K8" s="23" t="s">
        <v>100</v>
      </c>
    </row>
    <row r="9">
      <c r="A9" s="23" t="s">
        <v>393</v>
      </c>
      <c r="B9" s="20" t="s">
        <v>394</v>
      </c>
      <c r="C9" s="20" t="s">
        <v>395</v>
      </c>
      <c r="D9" s="20" t="s">
        <v>396</v>
      </c>
      <c r="E9" s="61">
        <v>0.0</v>
      </c>
      <c r="F9" s="61">
        <v>0.0</v>
      </c>
      <c r="G9" s="61">
        <v>0.0</v>
      </c>
      <c r="H9" s="61">
        <v>0.0</v>
      </c>
      <c r="I9" s="61">
        <f t="shared" si="1"/>
        <v>0</v>
      </c>
      <c r="J9" s="61">
        <f>IF(B9="","",(Income!$B$37+Income!$B$27+Income!$B$28+Income!$B$29)-I9)</f>
        <v>808.82</v>
      </c>
      <c r="K9" s="23" t="s">
        <v>100</v>
      </c>
    </row>
    <row r="10">
      <c r="A10" s="23" t="s">
        <v>397</v>
      </c>
      <c r="B10" s="20" t="s">
        <v>398</v>
      </c>
      <c r="C10" s="20" t="s">
        <v>399</v>
      </c>
      <c r="D10" s="20" t="s">
        <v>400</v>
      </c>
      <c r="E10" s="61">
        <v>0.0</v>
      </c>
      <c r="F10" s="61">
        <v>0.0</v>
      </c>
      <c r="G10" s="61">
        <v>0.0</v>
      </c>
      <c r="H10" s="61">
        <v>0.0</v>
      </c>
      <c r="I10" s="61">
        <f t="shared" si="1"/>
        <v>0</v>
      </c>
      <c r="J10" s="61">
        <f>IF(B10="","",(Income!$B$37+Income!$B$27+Income!$B$28+Income!$B$29)-I10)</f>
        <v>808.82</v>
      </c>
      <c r="K10" s="23" t="s">
        <v>100</v>
      </c>
    </row>
    <row r="11">
      <c r="A11" s="23" t="s">
        <v>401</v>
      </c>
      <c r="B11" s="20" t="s">
        <v>402</v>
      </c>
      <c r="C11" s="20" t="s">
        <v>403</v>
      </c>
      <c r="D11" s="20" t="s">
        <v>404</v>
      </c>
      <c r="E11" s="61">
        <v>0.0</v>
      </c>
      <c r="F11" s="61">
        <v>0.0</v>
      </c>
      <c r="G11" s="61">
        <v>0.0</v>
      </c>
      <c r="H11" s="61">
        <v>0.0</v>
      </c>
      <c r="I11" s="61">
        <f t="shared" si="1"/>
        <v>0</v>
      </c>
      <c r="J11" s="61">
        <f>IF(B11="","",(Income!$B$37+Income!$B$27+Income!$B$28+Income!$B$29)-I11)</f>
        <v>808.82</v>
      </c>
      <c r="K11" s="23" t="s">
        <v>100</v>
      </c>
    </row>
    <row r="12">
      <c r="A12" s="23" t="s">
        <v>405</v>
      </c>
      <c r="B12" s="20" t="s">
        <v>406</v>
      </c>
      <c r="C12" s="20" t="s">
        <v>407</v>
      </c>
      <c r="D12" s="20" t="s">
        <v>408</v>
      </c>
      <c r="E12" s="61">
        <v>0.0</v>
      </c>
      <c r="F12" s="61">
        <v>0.0</v>
      </c>
      <c r="G12" s="61">
        <v>0.0</v>
      </c>
      <c r="H12" s="61">
        <v>0.0</v>
      </c>
      <c r="I12" s="61">
        <f t="shared" si="1"/>
        <v>0</v>
      </c>
      <c r="J12" s="61">
        <f>IF(B12="","",(Income!$B$37+Income!$B$27+Income!$B$28+Income!$B$29)-I12)</f>
        <v>808.82</v>
      </c>
      <c r="K12" s="23" t="s">
        <v>100</v>
      </c>
    </row>
    <row r="13">
      <c r="A13" s="23" t="s">
        <v>409</v>
      </c>
      <c r="B13" s="20" t="s">
        <v>410</v>
      </c>
      <c r="C13" s="20" t="s">
        <v>411</v>
      </c>
      <c r="D13" s="20" t="s">
        <v>412</v>
      </c>
      <c r="E13" s="61">
        <v>0.0</v>
      </c>
      <c r="F13" s="61">
        <v>0.0</v>
      </c>
      <c r="G13" s="61">
        <v>0.0</v>
      </c>
      <c r="H13" s="61">
        <v>0.0</v>
      </c>
      <c r="I13" s="61">
        <f t="shared" si="1"/>
        <v>0</v>
      </c>
      <c r="J13" s="61">
        <f>IF(B13="","",(Income!$B$37+Income!$B$27+Income!$B$28+Income!$B$29)-I13)</f>
        <v>808.82</v>
      </c>
      <c r="K13" s="23" t="s">
        <v>100</v>
      </c>
    </row>
    <row r="14">
      <c r="A14" s="23" t="s">
        <v>413</v>
      </c>
      <c r="B14" s="20" t="s">
        <v>414</v>
      </c>
      <c r="C14" s="20" t="s">
        <v>415</v>
      </c>
      <c r="D14" s="20" t="s">
        <v>416</v>
      </c>
      <c r="E14" s="61">
        <v>0.0</v>
      </c>
      <c r="F14" s="61">
        <v>0.0</v>
      </c>
      <c r="G14" s="61">
        <v>0.0</v>
      </c>
      <c r="H14" s="61">
        <v>0.0</v>
      </c>
      <c r="I14" s="61">
        <f t="shared" si="1"/>
        <v>0</v>
      </c>
      <c r="J14" s="61">
        <f>IF(B14="","",(Income!$B$37+Income!$B$27+Income!$B$28+Income!$B$29)-I14)</f>
        <v>808.82</v>
      </c>
      <c r="K14" s="23" t="s">
        <v>100</v>
      </c>
    </row>
    <row r="15">
      <c r="A15" s="23" t="s">
        <v>417</v>
      </c>
      <c r="B15" s="20" t="s">
        <v>418</v>
      </c>
      <c r="C15" s="20" t="s">
        <v>419</v>
      </c>
      <c r="D15" s="20" t="s">
        <v>420</v>
      </c>
      <c r="E15" s="61">
        <v>0.0</v>
      </c>
      <c r="F15" s="61">
        <v>0.0</v>
      </c>
      <c r="G15" s="61">
        <v>0.0</v>
      </c>
      <c r="H15" s="61">
        <v>0.0</v>
      </c>
      <c r="I15" s="61">
        <f t="shared" si="1"/>
        <v>0</v>
      </c>
      <c r="J15" s="61">
        <f>IF(B15="","",(Income!$B$37+Income!$B$27+Income!$B$28+Income!$B$29)-I15)</f>
        <v>808.82</v>
      </c>
      <c r="K15" s="23" t="s">
        <v>100</v>
      </c>
    </row>
    <row r="16">
      <c r="A16" s="23" t="s">
        <v>421</v>
      </c>
      <c r="B16" s="20" t="s">
        <v>422</v>
      </c>
      <c r="C16" s="20" t="s">
        <v>423</v>
      </c>
      <c r="D16" s="20" t="s">
        <v>424</v>
      </c>
      <c r="E16" s="61">
        <v>0.0</v>
      </c>
      <c r="F16" s="61">
        <v>0.0</v>
      </c>
      <c r="G16" s="61">
        <v>0.0</v>
      </c>
      <c r="H16" s="61">
        <v>0.0</v>
      </c>
      <c r="I16" s="61">
        <f t="shared" si="1"/>
        <v>0</v>
      </c>
      <c r="J16" s="61">
        <f>IF(B16="","",(Income!$B$37+Income!$B$27+Income!$B$28+Income!$B$29)-I16)</f>
        <v>808.82</v>
      </c>
      <c r="K16" s="23" t="s">
        <v>100</v>
      </c>
    </row>
    <row r="17">
      <c r="A17" s="23" t="s">
        <v>425</v>
      </c>
      <c r="B17" s="20" t="s">
        <v>426</v>
      </c>
      <c r="C17" s="20" t="s">
        <v>427</v>
      </c>
      <c r="D17" s="20" t="s">
        <v>428</v>
      </c>
      <c r="E17" s="61">
        <v>0.0</v>
      </c>
      <c r="F17" s="61">
        <v>0.0</v>
      </c>
      <c r="G17" s="61">
        <v>0.0</v>
      </c>
      <c r="H17" s="61">
        <v>0.0</v>
      </c>
      <c r="I17" s="61">
        <f t="shared" si="1"/>
        <v>0</v>
      </c>
      <c r="J17" s="61">
        <f>IF(B17="","",(Income!$B$37+Income!$B$27+Income!$B$28+Income!$B$29)-I17)</f>
        <v>808.82</v>
      </c>
      <c r="K17" s="23" t="s">
        <v>100</v>
      </c>
    </row>
    <row r="18">
      <c r="A18" s="23" t="s">
        <v>429</v>
      </c>
      <c r="B18" s="20" t="s">
        <v>430</v>
      </c>
      <c r="C18" s="20" t="s">
        <v>431</v>
      </c>
      <c r="D18" s="20" t="s">
        <v>432</v>
      </c>
      <c r="E18" s="61">
        <v>0.0</v>
      </c>
      <c r="F18" s="61">
        <v>0.0</v>
      </c>
      <c r="G18" s="61">
        <v>0.0</v>
      </c>
      <c r="H18" s="61">
        <v>0.0</v>
      </c>
      <c r="I18" s="61">
        <f t="shared" si="1"/>
        <v>0</v>
      </c>
      <c r="J18" s="61">
        <f>IF(B18="","",(Income!$B$37+Income!$B$27+Income!$B$28+Income!$B$29)-I18)</f>
        <v>808.82</v>
      </c>
      <c r="K18" s="23" t="s">
        <v>100</v>
      </c>
    </row>
    <row r="19">
      <c r="A19" s="23" t="s">
        <v>433</v>
      </c>
      <c r="B19" s="20" t="s">
        <v>434</v>
      </c>
      <c r="C19" s="20" t="s">
        <v>435</v>
      </c>
      <c r="D19" s="20" t="s">
        <v>436</v>
      </c>
      <c r="E19" s="61">
        <v>0.0</v>
      </c>
      <c r="F19" s="61">
        <v>0.0</v>
      </c>
      <c r="G19" s="61">
        <v>0.0</v>
      </c>
      <c r="H19" s="61">
        <v>0.0</v>
      </c>
      <c r="I19" s="61">
        <f t="shared" si="1"/>
        <v>0</v>
      </c>
      <c r="J19" s="61">
        <f>IF(B19="","",(Income!$B$37+Income!$B$27+Income!$B$28+Income!$B$29)-I19)</f>
        <v>808.82</v>
      </c>
      <c r="K19" s="23" t="s">
        <v>100</v>
      </c>
    </row>
    <row r="20">
      <c r="A20" s="23" t="s">
        <v>437</v>
      </c>
      <c r="B20" s="20" t="s">
        <v>438</v>
      </c>
      <c r="C20" s="20" t="s">
        <v>439</v>
      </c>
      <c r="D20" s="20" t="s">
        <v>440</v>
      </c>
      <c r="E20" s="61">
        <v>0.0</v>
      </c>
      <c r="F20" s="61">
        <v>0.0</v>
      </c>
      <c r="G20" s="61">
        <v>0.0</v>
      </c>
      <c r="H20" s="61">
        <v>0.0</v>
      </c>
      <c r="I20" s="61">
        <f t="shared" si="1"/>
        <v>0</v>
      </c>
      <c r="J20" s="61">
        <f>IF(B20="","",(Income!$B$37+Income!$B$27+Income!$B$28+Income!$B$29)-I20)</f>
        <v>808.82</v>
      </c>
      <c r="K20" s="23" t="s">
        <v>100</v>
      </c>
    </row>
    <row r="21" ht="15.75" customHeight="1">
      <c r="A21" s="23" t="s">
        <v>441</v>
      </c>
      <c r="B21" s="20" t="s">
        <v>442</v>
      </c>
      <c r="C21" s="20" t="s">
        <v>443</v>
      </c>
      <c r="D21" s="20" t="s">
        <v>444</v>
      </c>
      <c r="E21" s="61">
        <v>0.0</v>
      </c>
      <c r="F21" s="61">
        <v>0.0</v>
      </c>
      <c r="G21" s="61">
        <v>0.0</v>
      </c>
      <c r="H21" s="61">
        <v>0.0</v>
      </c>
      <c r="I21" s="61">
        <f t="shared" si="1"/>
        <v>0</v>
      </c>
      <c r="J21" s="61">
        <f>IF(B21="","",(Income!$B$37+Income!$B$27+Income!$B$28+Income!$B$29)-I21)</f>
        <v>808.82</v>
      </c>
      <c r="K21" s="23" t="s">
        <v>100</v>
      </c>
    </row>
    <row r="22" ht="15.75" customHeight="1">
      <c r="A22" s="23" t="s">
        <v>445</v>
      </c>
      <c r="B22" s="20"/>
      <c r="C22" s="20"/>
      <c r="D22" s="20"/>
      <c r="E22" s="61">
        <v>0.0</v>
      </c>
      <c r="F22" s="61">
        <v>0.0</v>
      </c>
      <c r="G22" s="61">
        <v>0.0</v>
      </c>
      <c r="H22" s="61">
        <v>0.0</v>
      </c>
      <c r="I22" s="61" t="str">
        <f t="shared" ref="I22:I25" si="2">IF(B22="","",SUM(E22:H22))</f>
        <v/>
      </c>
      <c r="J22" s="61" t="str">
        <f>IF(B22="","",(Income!$B$37+Income!$B$27+Income!$B$28+Income!$B$29)-I22)</f>
        <v/>
      </c>
      <c r="K22" s="23" t="str">
        <f t="shared" ref="K22:K25" si="3">IF(B22="","","Pending")</f>
        <v/>
      </c>
    </row>
    <row r="23" ht="15.75" customHeight="1">
      <c r="A23" s="23" t="s">
        <v>446</v>
      </c>
      <c r="B23" s="20"/>
      <c r="C23" s="20"/>
      <c r="D23" s="20"/>
      <c r="E23" s="61">
        <v>0.0</v>
      </c>
      <c r="F23" s="61">
        <v>0.0</v>
      </c>
      <c r="G23" s="61">
        <v>0.0</v>
      </c>
      <c r="H23" s="61">
        <v>0.0</v>
      </c>
      <c r="I23" s="61" t="str">
        <f t="shared" si="2"/>
        <v/>
      </c>
      <c r="J23" s="61" t="str">
        <f>IF(B23="","",(Income!$B$37+Income!$B$27+Income!$B$28+Income!$B$29)-I23)</f>
        <v/>
      </c>
      <c r="K23" s="23" t="str">
        <f t="shared" si="3"/>
        <v/>
      </c>
    </row>
    <row r="24" ht="15.75" customHeight="1">
      <c r="A24" s="23" t="s">
        <v>447</v>
      </c>
      <c r="B24" s="20"/>
      <c r="C24" s="20"/>
      <c r="D24" s="20"/>
      <c r="E24" s="61">
        <v>0.0</v>
      </c>
      <c r="F24" s="61">
        <v>0.0</v>
      </c>
      <c r="G24" s="61">
        <v>0.0</v>
      </c>
      <c r="H24" s="61">
        <v>0.0</v>
      </c>
      <c r="I24" s="61" t="str">
        <f t="shared" si="2"/>
        <v/>
      </c>
      <c r="J24" s="61" t="str">
        <f>IF(B24="","",(Income!$B$37+Income!$B$27+Income!$B$28+Income!$B$29)-I24)</f>
        <v/>
      </c>
      <c r="K24" s="23" t="str">
        <f t="shared" si="3"/>
        <v/>
      </c>
    </row>
    <row r="25" ht="15.75" customHeight="1">
      <c r="A25" s="23" t="s">
        <v>448</v>
      </c>
      <c r="B25" s="20"/>
      <c r="C25" s="20"/>
      <c r="D25" s="20"/>
      <c r="E25" s="61">
        <v>0.0</v>
      </c>
      <c r="F25" s="61">
        <v>0.0</v>
      </c>
      <c r="G25" s="61">
        <v>0.0</v>
      </c>
      <c r="H25" s="61">
        <v>0.0</v>
      </c>
      <c r="I25" s="61" t="str">
        <f t="shared" si="2"/>
        <v/>
      </c>
      <c r="J25" s="61" t="str">
        <f>IF(B25="","",(Income!$B$37+Income!$B$27+Income!$B$28+Income!$B$29)-I25)</f>
        <v/>
      </c>
      <c r="K25" s="23" t="str">
        <f t="shared" si="3"/>
        <v/>
      </c>
    </row>
    <row r="26" ht="15.75" customHeight="1">
      <c r="A26" s="62"/>
      <c r="B26" s="63" t="s">
        <v>449</v>
      </c>
      <c r="C26" s="62"/>
      <c r="D26" s="62"/>
      <c r="E26" s="25">
        <f t="shared" ref="E26:J26" si="4">SUM(E5:E25)</f>
        <v>0</v>
      </c>
      <c r="F26" s="25">
        <f t="shared" si="4"/>
        <v>0</v>
      </c>
      <c r="G26" s="25">
        <f t="shared" si="4"/>
        <v>0</v>
      </c>
      <c r="H26" s="25">
        <f t="shared" si="4"/>
        <v>0</v>
      </c>
      <c r="I26" s="25">
        <f t="shared" si="4"/>
        <v>0</v>
      </c>
      <c r="J26" s="25">
        <f t="shared" si="4"/>
        <v>13749.94</v>
      </c>
      <c r="K26" s="64" t="str">
        <f>COUNTA(B5:B25) &amp; " Players Accounted For"</f>
        <v>17 Players Accounted For</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rintOptions/>
  <pageMargins bottom="1.0" footer="0.0" header="0.0" left="0.75" right="0.75" top="1.0"/>
  <pageSetup orientation="landscape"/>
  <drawing r:id="rId1"/>
</worksheet>
</file>