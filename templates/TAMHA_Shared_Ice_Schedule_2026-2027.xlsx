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s_and_Divisions" sheetId="1" state="visible" r:id="rId1"/>
    <sheet xmlns:r="http://schemas.openxmlformats.org/officeDocument/2006/relationships" name="Weekday_Schedule" sheetId="2" state="visible" r:id="rId2"/>
    <sheet xmlns:r="http://schemas.openxmlformats.org/officeDocument/2006/relationships" name="Weekend_Schedule" sheetId="3" state="visible" r:id="rId3"/>
    <sheet xmlns:r="http://schemas.openxmlformats.org/officeDocument/2006/relationships" name="Ice_Summa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97D"/>
      <sz val="13"/>
    </font>
    <font>
      <name val="Arial"/>
      <sz val="10"/>
    </font>
    <font>
      <name val="Arial"/>
      <b val="1"/>
      <color rgb="00FFFFFF"/>
      <sz val="10"/>
    </font>
    <font>
      <name val="Arial"/>
      <b val="1"/>
      <sz val="10"/>
    </font>
  </fonts>
  <fills count="13">
    <fill>
      <patternFill/>
    </fill>
    <fill>
      <patternFill patternType="gray125"/>
    </fill>
    <fill>
      <patternFill patternType="solid">
        <fgColor rgb="001F497D"/>
        <bgColor rgb="001F497D"/>
      </patternFill>
    </fill>
    <fill>
      <patternFill patternType="solid">
        <fgColor rgb="00D9EAD3"/>
        <bgColor rgb="00D9EAD3"/>
      </patternFill>
    </fill>
    <fill>
      <patternFill patternType="solid">
        <fgColor rgb="00FFF2CC"/>
        <bgColor rgb="00FFF2CC"/>
      </patternFill>
    </fill>
    <fill>
      <patternFill patternType="solid">
        <fgColor rgb="00EAD1DC"/>
        <bgColor rgb="00EAD1DC"/>
      </patternFill>
    </fill>
    <fill>
      <patternFill patternType="solid">
        <fgColor rgb="00EFEFEF"/>
        <bgColor rgb="00EFEFEF"/>
      </patternFill>
    </fill>
    <fill>
      <patternFill patternType="solid">
        <fgColor rgb="00FCE4D6"/>
        <bgColor rgb="00FCE4D6"/>
      </patternFill>
    </fill>
    <fill>
      <patternFill patternType="solid">
        <fgColor rgb="00FFFFFF"/>
        <bgColor rgb="00FFFFFF"/>
      </patternFill>
    </fill>
    <fill>
      <patternFill patternType="solid">
        <fgColor rgb="00FFFF00"/>
        <bgColor rgb="00FFFF00"/>
      </patternFill>
    </fill>
    <fill>
      <patternFill patternType="solid">
        <fgColor rgb="0000FF00"/>
        <bgColor rgb="0000FF00"/>
      </patternFill>
    </fill>
    <fill>
      <patternFill patternType="solid">
        <fgColor rgb="0000FFFF"/>
        <bgColor rgb="0000FFFF"/>
      </patternFill>
    </fill>
    <fill>
      <patternFill patternType="solid">
        <fgColor rgb="00FF9900"/>
        <bgColor rgb="00FF990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pivotButton="0" quotePrefix="0" xfId="0"/>
    <xf numFmtId="0" fontId="2" fillId="0" borderId="1" applyAlignment="1" pivotButton="0" quotePrefix="0" xfId="0">
      <alignment horizontal="center" vertical="center"/>
    </xf>
    <xf numFmtId="0" fontId="2" fillId="0" borderId="1" pivotButton="0" quotePrefix="0" xfId="0"/>
    <xf numFmtId="0" fontId="4"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4" fillId="0"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0" borderId="0" pivotButton="0" quotePrefix="0" xfId="0"/>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9" borderId="0" pivotButton="0" quotePrefix="0" xfId="0"/>
    <xf numFmtId="0" fontId="4" fillId="10" borderId="0" pivotButton="0" quotePrefix="0" xfId="0"/>
    <xf numFmtId="0" fontId="0" fillId="0" borderId="1" pivotButton="0" quotePrefix="0" xfId="0"/>
    <xf numFmtId="0" fontId="4" fillId="11" borderId="0" pivotButton="0" quotePrefix="0" xfId="0"/>
    <xf numFmtId="0" fontId="4" fillId="12" borderId="0" pivotButton="0" quotePrefix="0" xfId="0"/>
    <xf numFmtId="0" fontId="4" fillId="0" borderId="1" applyAlignment="1" pivotButton="0" quotePrefix="0" xfId="0">
      <alignment horizontal="center" vertical="center"/>
    </xf>
  </cellXfs>
  <cellStyles count="1">
    <cellStyle name="Normal" xfId="0" builtinId="0" hidden="0"/>
  </cellStyles>
  <dxfs count="6">
    <dxf>
      <font>
        <name val="Arial"/>
        <b val="1"/>
        <color rgb="00274E13"/>
        <sz val="10"/>
      </font>
      <fill>
        <patternFill patternType="solid">
          <fgColor rgb="00D9EAD3"/>
          <bgColor rgb="00D9EAD3"/>
        </patternFill>
      </fill>
    </dxf>
    <dxf>
      <font>
        <name val="Arial"/>
        <b val="1"/>
        <color rgb="007F6000"/>
        <sz val="10"/>
      </font>
      <fill>
        <patternFill patternType="solid">
          <fgColor rgb="00FFF2CC"/>
          <bgColor rgb="00FFF2CC"/>
        </patternFill>
      </fill>
    </dxf>
    <dxf>
      <font>
        <name val="Arial"/>
        <color rgb="00777777"/>
        <sz val="10"/>
      </font>
      <fill>
        <patternFill patternType="solid">
          <fgColor rgb="00EFEFEF"/>
          <bgColor rgb="00EFEFEF"/>
        </patternFill>
      </fill>
    </dxf>
    <dxf>
      <font>
        <name val="Arial"/>
        <b val="1"/>
        <color rgb="00C00000"/>
        <sz val="10"/>
      </font>
      <fill>
        <patternFill patternType="solid">
          <fgColor rgb="00FCE4D6"/>
          <bgColor rgb="00FCE4D6"/>
        </patternFill>
      </fill>
    </dxf>
    <dxf>
      <font>
        <name val="Arial"/>
        <b val="1"/>
        <color rgb="00B45F06"/>
        <sz val="10"/>
      </font>
      <fill>
        <patternFill patternType="solid">
          <fgColor rgb="00FCE5CD"/>
          <bgColor rgb="00FCE5CD"/>
        </patternFill>
      </fill>
    </dxf>
    <dxf>
      <font>
        <name val="Arial"/>
        <b val="1"/>
        <color rgb="00351C75"/>
        <sz val="10"/>
      </font>
      <fill>
        <patternFill patternType="solid">
          <fgColor rgb="00EAD1DC"/>
          <bgColor rgb="00EAD1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12" customWidth="1" min="1" max="1"/>
    <col width="25" customWidth="1" min="2" max="2"/>
    <col width="25" customWidth="1" min="3" max="3"/>
    <col width="14" customWidth="1" min="4" max="4"/>
    <col width="4" customWidth="1" min="5" max="5"/>
    <col width="24" customWidth="1" min="6" max="6"/>
    <col width="12" customWidth="1" min="7" max="7"/>
    <col width="50" customWidth="1" min="8" max="8"/>
  </cols>
  <sheetData>
    <row r="1">
      <c r="A1" s="1" t="inlineStr">
        <is>
          <t>TAMHA TEAMS, DIVISIONS &amp; ICE STATUS DIRECTORY</t>
        </is>
      </c>
    </row>
    <row r="2">
      <c r="A2" s="2" t="inlineStr">
        <is>
          <t>This sheet powers the dropdown menus in the schedule to ensure 100% naming consistency.</t>
        </is>
      </c>
    </row>
    <row r="4">
      <c r="A4" s="3" t="inlineStr">
        <is>
          <t>Division</t>
        </is>
      </c>
      <c r="B4" s="3" t="inlineStr">
        <is>
          <t>Team / Level</t>
        </is>
      </c>
      <c r="C4" s="3" t="inlineStr">
        <is>
          <t>Schedule Dropdown Value</t>
        </is>
      </c>
      <c r="D4" s="3" t="inlineStr">
        <is>
          <t>Category</t>
        </is>
      </c>
      <c r="F4" s="4" t="inlineStr">
        <is>
          <t>Status Category</t>
        </is>
      </c>
      <c r="G4" s="4" t="inlineStr">
        <is>
          <t>Auto Color</t>
        </is>
      </c>
      <c r="H4" s="4" t="inlineStr">
        <is>
          <t>How it Works / Meaning</t>
        </is>
      </c>
    </row>
    <row r="5">
      <c r="A5" s="5" t="inlineStr">
        <is>
          <t>Status</t>
        </is>
      </c>
      <c r="B5" s="6" t="inlineStr">
        <is>
          <t>Open Ice</t>
        </is>
      </c>
      <c r="C5" s="6" t="inlineStr">
        <is>
          <t>[OPEN] Available</t>
        </is>
      </c>
      <c r="D5" s="5" t="inlineStr">
        <is>
          <t>Status</t>
        </is>
      </c>
      <c r="F5" s="7" t="inlineStr">
        <is>
          <t>[OPEN] Available</t>
        </is>
      </c>
      <c r="G5" s="8" t="inlineStr"/>
      <c r="H5" s="6" t="inlineStr">
        <is>
          <t>Turns Soft Green automatically. Identifies ice ready for teams to book/buy.</t>
        </is>
      </c>
    </row>
    <row r="6">
      <c r="A6" s="5" t="inlineStr">
        <is>
          <t>Status</t>
        </is>
      </c>
      <c r="B6" s="6" t="inlineStr">
        <is>
          <t>Tentative Hold</t>
        </is>
      </c>
      <c r="C6" s="6" t="inlineStr">
        <is>
          <t>[HOLD] Tentative</t>
        </is>
      </c>
      <c r="D6" s="5" t="inlineStr">
        <is>
          <t>Status</t>
        </is>
      </c>
      <c r="F6" s="7" t="inlineStr">
        <is>
          <t>[HOLD] Tentative</t>
        </is>
      </c>
      <c r="G6" s="9" t="inlineStr"/>
      <c r="H6" s="6" t="inlineStr">
        <is>
          <t>Turns Soft Yellow automatically. Identifies ice tentatively held pending confirmation.</t>
        </is>
      </c>
    </row>
    <row r="7">
      <c r="A7" s="5" t="inlineStr">
        <is>
          <t>Status</t>
        </is>
      </c>
      <c r="B7" s="6" t="inlineStr">
        <is>
          <t>Returned / Dead Ice</t>
        </is>
      </c>
      <c r="C7" s="6" t="inlineStr">
        <is>
          <t>[DEAD] Released Ice</t>
        </is>
      </c>
      <c r="D7" s="5" t="inlineStr">
        <is>
          <t>Status</t>
        </is>
      </c>
      <c r="F7" s="7" t="inlineStr">
        <is>
          <t>*(Game)*</t>
        </is>
      </c>
      <c r="G7" s="10" t="inlineStr"/>
      <c r="H7" s="6" t="inlineStr">
        <is>
          <t>Turns Soft Purple automatically. Highlights games requiring referees/timekeepers.</t>
        </is>
      </c>
    </row>
    <row r="8">
      <c r="A8" s="5" t="inlineStr">
        <is>
          <t>U7</t>
        </is>
      </c>
      <c r="B8" s="6" t="inlineStr">
        <is>
          <t>U7 Group 4</t>
        </is>
      </c>
      <c r="C8" s="6" t="inlineStr">
        <is>
          <t>U7-4</t>
        </is>
      </c>
      <c r="D8" s="5" t="inlineStr">
        <is>
          <t>Team</t>
        </is>
      </c>
      <c r="F8" s="7" t="inlineStr">
        <is>
          <t>[DEAD] Released Ice</t>
        </is>
      </c>
      <c r="G8" s="11" t="inlineStr"/>
      <c r="H8" s="6" t="inlineStr">
        <is>
          <t>Turns Soft Gray automatically. Slot returned to arena or cancelled.</t>
        </is>
      </c>
    </row>
    <row r="9">
      <c r="A9" s="5" t="inlineStr">
        <is>
          <t>U7</t>
        </is>
      </c>
      <c r="B9" s="6" t="inlineStr">
        <is>
          <t>U7-5 Blue</t>
        </is>
      </c>
      <c r="C9" s="6" t="inlineStr">
        <is>
          <t>U7-5 Blue</t>
        </is>
      </c>
      <c r="D9" s="5" t="inlineStr">
        <is>
          <t>Team</t>
        </is>
      </c>
      <c r="F9" s="7" t="inlineStr">
        <is>
          <t>Senior Game / JrA</t>
        </is>
      </c>
      <c r="G9" s="12" t="inlineStr"/>
      <c r="H9" s="6" t="inlineStr">
        <is>
          <t>Turns Soft Red automatically. External arena conflict.</t>
        </is>
      </c>
    </row>
    <row r="10">
      <c r="A10" s="5" t="inlineStr">
        <is>
          <t>U7</t>
        </is>
      </c>
      <c r="B10" s="6" t="inlineStr">
        <is>
          <t>U7-5 Orange</t>
        </is>
      </c>
      <c r="C10" s="6" t="inlineStr">
        <is>
          <t>U7-5 Orange</t>
        </is>
      </c>
      <c r="D10" s="5" t="inlineStr">
        <is>
          <t>Team</t>
        </is>
      </c>
      <c r="F10" s="7" t="inlineStr">
        <is>
          <t>Confirmed Team Practice</t>
        </is>
      </c>
      <c r="G10" s="13" t="inlineStr"/>
      <c r="H10" s="6" t="inlineStr">
        <is>
          <t>White/Clean. Standard team practice session.</t>
        </is>
      </c>
    </row>
    <row r="11">
      <c r="A11" s="5" t="inlineStr">
        <is>
          <t>U7</t>
        </is>
      </c>
      <c r="B11" s="6" t="inlineStr">
        <is>
          <t>U7-6</t>
        </is>
      </c>
      <c r="C11" s="6" t="inlineStr">
        <is>
          <t>U7-6</t>
        </is>
      </c>
      <c r="D11" s="5" t="inlineStr">
        <is>
          <t>Team</t>
        </is>
      </c>
    </row>
    <row r="12">
      <c r="A12" s="5" t="inlineStr">
        <is>
          <t>U9</t>
        </is>
      </c>
      <c r="B12" s="6" t="inlineStr">
        <is>
          <t>U9 Intermediate</t>
        </is>
      </c>
      <c r="C12" s="6" t="inlineStr">
        <is>
          <t>U9 Int</t>
        </is>
      </c>
      <c r="D12" s="5" t="inlineStr">
        <is>
          <t>Team</t>
        </is>
      </c>
    </row>
    <row r="13">
      <c r="A13" s="5" t="inlineStr">
        <is>
          <t>U9</t>
        </is>
      </c>
      <c r="B13" s="6" t="inlineStr">
        <is>
          <t>U9 Advanced</t>
        </is>
      </c>
      <c r="C13" s="6" t="inlineStr">
        <is>
          <t>U9 Adv</t>
        </is>
      </c>
      <c r="D13" s="5" t="inlineStr">
        <is>
          <t>Team</t>
        </is>
      </c>
    </row>
    <row r="14">
      <c r="A14" s="5" t="inlineStr">
        <is>
          <t>U9</t>
        </is>
      </c>
      <c r="B14" s="6" t="inlineStr">
        <is>
          <t>U9 Jayasinghe</t>
        </is>
      </c>
      <c r="C14" s="6" t="inlineStr">
        <is>
          <t>U9 Jayasinghe</t>
        </is>
      </c>
      <c r="D14" s="5" t="inlineStr">
        <is>
          <t>Team</t>
        </is>
      </c>
    </row>
    <row r="15">
      <c r="A15" s="5" t="inlineStr">
        <is>
          <t>U9</t>
        </is>
      </c>
      <c r="B15" s="6" t="inlineStr">
        <is>
          <t>U9 John</t>
        </is>
      </c>
      <c r="C15" s="6" t="inlineStr">
        <is>
          <t>U9 John</t>
        </is>
      </c>
      <c r="D15" s="5" t="inlineStr">
        <is>
          <t>Team</t>
        </is>
      </c>
    </row>
    <row r="16">
      <c r="A16" s="5" t="inlineStr">
        <is>
          <t>U11</t>
        </is>
      </c>
      <c r="B16" s="6" t="inlineStr">
        <is>
          <t>U11 AA</t>
        </is>
      </c>
      <c r="C16" s="6" t="inlineStr">
        <is>
          <t>U11AA</t>
        </is>
      </c>
      <c r="D16" s="5" t="inlineStr">
        <is>
          <t>Team</t>
        </is>
      </c>
    </row>
    <row r="17">
      <c r="A17" s="5" t="inlineStr">
        <is>
          <t>U11</t>
        </is>
      </c>
      <c r="B17" s="6" t="inlineStr">
        <is>
          <t>U11 AA Game</t>
        </is>
      </c>
      <c r="C17" s="6" t="inlineStr">
        <is>
          <t>U11AA (Game)</t>
        </is>
      </c>
      <c r="D17" s="5" t="inlineStr">
        <is>
          <t>Game</t>
        </is>
      </c>
    </row>
    <row r="18">
      <c r="A18" s="5" t="inlineStr">
        <is>
          <t>U11</t>
        </is>
      </c>
      <c r="B18" s="6" t="inlineStr">
        <is>
          <t>U11 A</t>
        </is>
      </c>
      <c r="C18" s="6" t="inlineStr">
        <is>
          <t>U11A</t>
        </is>
      </c>
      <c r="D18" s="5" t="inlineStr">
        <is>
          <t>Team</t>
        </is>
      </c>
    </row>
    <row r="19">
      <c r="A19" s="5" t="inlineStr">
        <is>
          <t>U11</t>
        </is>
      </c>
      <c r="B19" s="6" t="inlineStr">
        <is>
          <t>U11 A Game</t>
        </is>
      </c>
      <c r="C19" s="6" t="inlineStr">
        <is>
          <t>U11A (Game)</t>
        </is>
      </c>
      <c r="D19" s="5" t="inlineStr">
        <is>
          <t>Game</t>
        </is>
      </c>
    </row>
    <row r="20">
      <c r="A20" s="5" t="inlineStr">
        <is>
          <t>U11</t>
        </is>
      </c>
      <c r="B20" s="6" t="inlineStr">
        <is>
          <t>U11 B</t>
        </is>
      </c>
      <c r="C20" s="6" t="inlineStr">
        <is>
          <t>U11B</t>
        </is>
      </c>
      <c r="D20" s="5" t="inlineStr">
        <is>
          <t>Team</t>
        </is>
      </c>
    </row>
    <row r="21">
      <c r="A21" s="5" t="inlineStr">
        <is>
          <t>U11</t>
        </is>
      </c>
      <c r="B21" s="6" t="inlineStr">
        <is>
          <t>U11 B Game</t>
        </is>
      </c>
      <c r="C21" s="6" t="inlineStr">
        <is>
          <t>U11B (Game)</t>
        </is>
      </c>
      <c r="D21" s="5" t="inlineStr">
        <is>
          <t>Game</t>
        </is>
      </c>
    </row>
    <row r="22">
      <c r="A22" s="5" t="inlineStr">
        <is>
          <t>U11</t>
        </is>
      </c>
      <c r="B22" s="6" t="inlineStr">
        <is>
          <t>U11 C Bernard</t>
        </is>
      </c>
      <c r="C22" s="6" t="inlineStr">
        <is>
          <t>U11 Bernard</t>
        </is>
      </c>
      <c r="D22" s="5" t="inlineStr">
        <is>
          <t>Team</t>
        </is>
      </c>
    </row>
    <row r="23">
      <c r="A23" s="5" t="inlineStr">
        <is>
          <t>U11</t>
        </is>
      </c>
      <c r="B23" s="6" t="inlineStr">
        <is>
          <t>U11 C Simms</t>
        </is>
      </c>
      <c r="C23" s="6" t="inlineStr">
        <is>
          <t>U11 Simms</t>
        </is>
      </c>
      <c r="D23" s="5" t="inlineStr">
        <is>
          <t>Team</t>
        </is>
      </c>
    </row>
    <row r="24">
      <c r="A24" s="5" t="inlineStr">
        <is>
          <t>U13</t>
        </is>
      </c>
      <c r="B24" s="6" t="inlineStr">
        <is>
          <t>U13 AAA</t>
        </is>
      </c>
      <c r="C24" s="6" t="inlineStr">
        <is>
          <t>U13AAA</t>
        </is>
      </c>
      <c r="D24" s="5" t="inlineStr">
        <is>
          <t>Team</t>
        </is>
      </c>
    </row>
    <row r="25">
      <c r="A25" s="5" t="inlineStr">
        <is>
          <t>U13</t>
        </is>
      </c>
      <c r="B25" s="6" t="inlineStr">
        <is>
          <t>U13 AAA Game</t>
        </is>
      </c>
      <c r="C25" s="6" t="inlineStr">
        <is>
          <t>U13AAA (Game)</t>
        </is>
      </c>
      <c r="D25" s="5" t="inlineStr">
        <is>
          <t>Game</t>
        </is>
      </c>
    </row>
    <row r="26">
      <c r="A26" s="5" t="inlineStr">
        <is>
          <t>U13</t>
        </is>
      </c>
      <c r="B26" s="6" t="inlineStr">
        <is>
          <t>U13 AA</t>
        </is>
      </c>
      <c r="C26" s="6" t="inlineStr">
        <is>
          <t>U13AA</t>
        </is>
      </c>
      <c r="D26" s="5" t="inlineStr">
        <is>
          <t>Team</t>
        </is>
      </c>
    </row>
    <row r="27">
      <c r="A27" s="5" t="inlineStr">
        <is>
          <t>U13</t>
        </is>
      </c>
      <c r="B27" s="6" t="inlineStr">
        <is>
          <t>U13 AA Game</t>
        </is>
      </c>
      <c r="C27" s="6" t="inlineStr">
        <is>
          <t>U13AA (Game)</t>
        </is>
      </c>
      <c r="D27" s="5" t="inlineStr">
        <is>
          <t>Game</t>
        </is>
      </c>
    </row>
    <row r="28">
      <c r="A28" s="5" t="inlineStr">
        <is>
          <t>U13</t>
        </is>
      </c>
      <c r="B28" s="6" t="inlineStr">
        <is>
          <t>U13 A Malone</t>
        </is>
      </c>
      <c r="C28" s="6" t="inlineStr">
        <is>
          <t>U13A</t>
        </is>
      </c>
      <c r="D28" s="5" t="inlineStr">
        <is>
          <t>Team</t>
        </is>
      </c>
    </row>
    <row r="29">
      <c r="A29" s="5" t="inlineStr">
        <is>
          <t>U13</t>
        </is>
      </c>
      <c r="B29" s="6" t="inlineStr">
        <is>
          <t>U13 A Game</t>
        </is>
      </c>
      <c r="C29" s="6" t="inlineStr">
        <is>
          <t>U13A (Game)</t>
        </is>
      </c>
      <c r="D29" s="5" t="inlineStr">
        <is>
          <t>Game</t>
        </is>
      </c>
    </row>
    <row r="30">
      <c r="A30" s="5" t="inlineStr">
        <is>
          <t>U13</t>
        </is>
      </c>
      <c r="B30" s="6" t="inlineStr">
        <is>
          <t>U13 B</t>
        </is>
      </c>
      <c r="C30" s="6" t="inlineStr">
        <is>
          <t>U13B</t>
        </is>
      </c>
      <c r="D30" s="5" t="inlineStr">
        <is>
          <t>Team</t>
        </is>
      </c>
    </row>
    <row r="31">
      <c r="A31" s="5" t="inlineStr">
        <is>
          <t>U13</t>
        </is>
      </c>
      <c r="B31" s="6" t="inlineStr">
        <is>
          <t>U13 B Game</t>
        </is>
      </c>
      <c r="C31" s="6" t="inlineStr">
        <is>
          <t>U13B (Game)</t>
        </is>
      </c>
      <c r="D31" s="5" t="inlineStr">
        <is>
          <t>Game</t>
        </is>
      </c>
    </row>
    <row r="32">
      <c r="A32" s="5" t="inlineStr">
        <is>
          <t>U13</t>
        </is>
      </c>
      <c r="B32" s="6" t="inlineStr">
        <is>
          <t>U13 C Campbell</t>
        </is>
      </c>
      <c r="C32" s="6" t="inlineStr">
        <is>
          <t>U13 Campbell</t>
        </is>
      </c>
      <c r="D32" s="5" t="inlineStr">
        <is>
          <t>Team</t>
        </is>
      </c>
    </row>
    <row r="33">
      <c r="A33" s="5" t="inlineStr">
        <is>
          <t>U13</t>
        </is>
      </c>
      <c r="B33" s="6" t="inlineStr">
        <is>
          <t>U13 C Cameron</t>
        </is>
      </c>
      <c r="C33" s="6" t="inlineStr">
        <is>
          <t>U13 Cameron</t>
        </is>
      </c>
      <c r="D33" s="5" t="inlineStr">
        <is>
          <t>Team</t>
        </is>
      </c>
    </row>
    <row r="34">
      <c r="A34" s="5" t="inlineStr">
        <is>
          <t>U15</t>
        </is>
      </c>
      <c r="B34" s="6" t="inlineStr">
        <is>
          <t>U15 AA</t>
        </is>
      </c>
      <c r="C34" s="6" t="inlineStr">
        <is>
          <t>U15AA</t>
        </is>
      </c>
      <c r="D34" s="5" t="inlineStr">
        <is>
          <t>Team</t>
        </is>
      </c>
    </row>
    <row r="35">
      <c r="A35" s="5" t="inlineStr">
        <is>
          <t>U15</t>
        </is>
      </c>
      <c r="B35" s="6" t="inlineStr">
        <is>
          <t>U15 AA Game</t>
        </is>
      </c>
      <c r="C35" s="6" t="inlineStr">
        <is>
          <t>U15AA (Game)</t>
        </is>
      </c>
      <c r="D35" s="5" t="inlineStr">
        <is>
          <t>Game</t>
        </is>
      </c>
    </row>
    <row r="36">
      <c r="A36" s="5" t="inlineStr">
        <is>
          <t>U15</t>
        </is>
      </c>
      <c r="B36" s="6" t="inlineStr">
        <is>
          <t>U15 A</t>
        </is>
      </c>
      <c r="C36" s="6" t="inlineStr">
        <is>
          <t>U15A</t>
        </is>
      </c>
      <c r="D36" s="5" t="inlineStr">
        <is>
          <t>Team</t>
        </is>
      </c>
    </row>
    <row r="37">
      <c r="A37" s="5" t="inlineStr">
        <is>
          <t>U15</t>
        </is>
      </c>
      <c r="B37" s="6" t="inlineStr">
        <is>
          <t>U15 A Game</t>
        </is>
      </c>
      <c r="C37" s="6" t="inlineStr">
        <is>
          <t>U15A (Game)</t>
        </is>
      </c>
      <c r="D37" s="5" t="inlineStr">
        <is>
          <t>Game</t>
        </is>
      </c>
    </row>
    <row r="38">
      <c r="A38" s="5" t="inlineStr">
        <is>
          <t>U15</t>
        </is>
      </c>
      <c r="B38" s="6" t="inlineStr">
        <is>
          <t>U15 C Bernard</t>
        </is>
      </c>
      <c r="C38" s="6" t="inlineStr">
        <is>
          <t>U15 Bernard</t>
        </is>
      </c>
      <c r="D38" s="5" t="inlineStr">
        <is>
          <t>Team</t>
        </is>
      </c>
    </row>
    <row r="39">
      <c r="A39" s="5" t="inlineStr">
        <is>
          <t>U15</t>
        </is>
      </c>
      <c r="B39" s="6" t="inlineStr">
        <is>
          <t>U15 C Campbell</t>
        </is>
      </c>
      <c r="C39" s="6" t="inlineStr">
        <is>
          <t>U15 Campbell</t>
        </is>
      </c>
      <c r="D39" s="5" t="inlineStr">
        <is>
          <t>Team</t>
        </is>
      </c>
    </row>
    <row r="40">
      <c r="A40" s="5" t="inlineStr">
        <is>
          <t>U18</t>
        </is>
      </c>
      <c r="B40" s="6" t="inlineStr">
        <is>
          <t>U18 AA</t>
        </is>
      </c>
      <c r="C40" s="6" t="inlineStr">
        <is>
          <t>U18AA</t>
        </is>
      </c>
      <c r="D40" s="5" t="inlineStr">
        <is>
          <t>Team</t>
        </is>
      </c>
    </row>
    <row r="41">
      <c r="A41" s="5" t="inlineStr">
        <is>
          <t>U18</t>
        </is>
      </c>
      <c r="B41" s="6" t="inlineStr">
        <is>
          <t>U18 AA Game</t>
        </is>
      </c>
      <c r="C41" s="6" t="inlineStr">
        <is>
          <t>U18AA (Game)</t>
        </is>
      </c>
      <c r="D41" s="5" t="inlineStr">
        <is>
          <t>Game</t>
        </is>
      </c>
    </row>
    <row r="42">
      <c r="A42" s="5" t="inlineStr">
        <is>
          <t>U18</t>
        </is>
      </c>
      <c r="B42" s="6" t="inlineStr">
        <is>
          <t>U18 A</t>
        </is>
      </c>
      <c r="C42" s="6" t="inlineStr">
        <is>
          <t>U18A</t>
        </is>
      </c>
      <c r="D42" s="5" t="inlineStr">
        <is>
          <t>Team</t>
        </is>
      </c>
    </row>
    <row r="43">
      <c r="A43" s="5" t="inlineStr">
        <is>
          <t>U18</t>
        </is>
      </c>
      <c r="B43" s="6" t="inlineStr">
        <is>
          <t>U18 A Game</t>
        </is>
      </c>
      <c r="C43" s="6" t="inlineStr">
        <is>
          <t>U18A (Game)</t>
        </is>
      </c>
      <c r="D43" s="5" t="inlineStr">
        <is>
          <t>Game</t>
        </is>
      </c>
    </row>
    <row r="44">
      <c r="A44" s="5" t="inlineStr">
        <is>
          <t>U18</t>
        </is>
      </c>
      <c r="B44" s="6" t="inlineStr">
        <is>
          <t>U18 C Masters</t>
        </is>
      </c>
      <c r="C44" s="6" t="inlineStr">
        <is>
          <t>U18 Masters</t>
        </is>
      </c>
      <c r="D44" s="5" t="inlineStr">
        <is>
          <t>Team</t>
        </is>
      </c>
    </row>
    <row r="45">
      <c r="A45" s="5" t="inlineStr">
        <is>
          <t>U18</t>
        </is>
      </c>
      <c r="B45" s="6" t="inlineStr">
        <is>
          <t>U18 C Wood</t>
        </is>
      </c>
      <c r="C45" s="6" t="inlineStr">
        <is>
          <t>U18 Wood</t>
        </is>
      </c>
      <c r="D45" s="5" t="inlineStr">
        <is>
          <t>Team</t>
        </is>
      </c>
    </row>
    <row r="46">
      <c r="A46" s="5" t="inlineStr">
        <is>
          <t>Assoc</t>
        </is>
      </c>
      <c r="B46" s="6" t="inlineStr">
        <is>
          <t>TAMHA Skills Development</t>
        </is>
      </c>
      <c r="C46" s="6" t="inlineStr">
        <is>
          <t>TAMHA Development</t>
        </is>
      </c>
      <c r="D46" s="5" t="inlineStr">
        <is>
          <t>Clinic</t>
        </is>
      </c>
    </row>
    <row r="47">
      <c r="A47" s="5" t="inlineStr">
        <is>
          <t>Assoc</t>
        </is>
      </c>
      <c r="B47" s="6" t="inlineStr">
        <is>
          <t>Goalie Clinic</t>
        </is>
      </c>
      <c r="C47" s="6" t="inlineStr">
        <is>
          <t>Goalie Clinic</t>
        </is>
      </c>
      <c r="D47" s="5" t="inlineStr">
        <is>
          <t>Clinic</t>
        </is>
      </c>
    </row>
    <row r="48">
      <c r="A48" s="5" t="inlineStr">
        <is>
          <t>Assoc</t>
        </is>
      </c>
      <c r="B48" s="6" t="inlineStr">
        <is>
          <t>Officials / Ref Clinic</t>
        </is>
      </c>
      <c r="C48" s="6" t="inlineStr">
        <is>
          <t>Officials</t>
        </is>
      </c>
      <c r="D48" s="5" t="inlineStr">
        <is>
          <t>Clinic</t>
        </is>
      </c>
    </row>
    <row r="49">
      <c r="A49" s="5" t="inlineStr">
        <is>
          <t>External</t>
        </is>
      </c>
      <c r="B49" s="6" t="inlineStr">
        <is>
          <t>Truro Jr A Bearcats</t>
        </is>
      </c>
      <c r="C49" s="6" t="inlineStr">
        <is>
          <t>JrA Games</t>
        </is>
      </c>
      <c r="D49" s="5" t="inlineStr">
        <is>
          <t>External</t>
        </is>
      </c>
    </row>
    <row r="50">
      <c r="A50" s="5" t="inlineStr">
        <is>
          <t>External</t>
        </is>
      </c>
      <c r="B50" s="6" t="inlineStr">
        <is>
          <t>Senior League Game</t>
        </is>
      </c>
      <c r="C50" s="6" t="inlineStr">
        <is>
          <t>Senior Game</t>
        </is>
      </c>
      <c r="D50" s="5" t="inlineStr">
        <is>
          <t>External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4:M3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4">
      <c r="B4" s="14" t="inlineStr">
        <is>
          <t>Monday</t>
        </is>
      </c>
      <c r="D4" s="14" t="inlineStr">
        <is>
          <t>Tuesday</t>
        </is>
      </c>
      <c r="F4" s="14" t="inlineStr">
        <is>
          <t>Wednesday</t>
        </is>
      </c>
      <c r="H4" s="14" t="inlineStr">
        <is>
          <t>Thursday</t>
        </is>
      </c>
      <c r="J4" s="14" t="inlineStr">
        <is>
          <t>Friday</t>
        </is>
      </c>
    </row>
    <row r="5">
      <c r="B5" s="15" t="inlineStr">
        <is>
          <t>Deuvilles</t>
        </is>
      </c>
      <c r="C5" s="15" t="inlineStr"/>
      <c r="D5" s="15" t="inlineStr">
        <is>
          <t>Deuvilles</t>
        </is>
      </c>
      <c r="E5" s="15" t="inlineStr"/>
      <c r="F5" s="15" t="inlineStr">
        <is>
          <t>Deuvilles</t>
        </is>
      </c>
      <c r="G5" s="15" t="inlineStr"/>
      <c r="H5" s="15" t="inlineStr">
        <is>
          <t>Deuvilles</t>
        </is>
      </c>
      <c r="I5" s="15" t="inlineStr"/>
      <c r="J5" s="15" t="inlineStr">
        <is>
          <t>Deuvilles</t>
        </is>
      </c>
      <c r="K5" s="15" t="inlineStr"/>
    </row>
    <row r="6">
      <c r="B6" s="5" t="inlineStr">
        <is>
          <t>Time</t>
        </is>
      </c>
      <c r="C6" s="5" t="inlineStr">
        <is>
          <t>Team</t>
        </is>
      </c>
      <c r="D6" s="5" t="inlineStr">
        <is>
          <t>Time</t>
        </is>
      </c>
      <c r="E6" s="5" t="inlineStr">
        <is>
          <t>Team</t>
        </is>
      </c>
      <c r="F6" s="5" t="inlineStr">
        <is>
          <t>Time</t>
        </is>
      </c>
      <c r="G6" s="5" t="inlineStr">
        <is>
          <t>Team</t>
        </is>
      </c>
      <c r="H6" s="5" t="inlineStr">
        <is>
          <t>Time</t>
        </is>
      </c>
      <c r="I6" s="5" t="inlineStr">
        <is>
          <t>Team</t>
        </is>
      </c>
      <c r="J6" s="5" t="inlineStr">
        <is>
          <t>Time</t>
        </is>
      </c>
      <c r="K6" s="5" t="inlineStr">
        <is>
          <t>Team</t>
        </is>
      </c>
    </row>
    <row r="7">
      <c r="B7" s="5" t="inlineStr">
        <is>
          <t>5:00-5:50</t>
        </is>
      </c>
      <c r="C7" s="6" t="inlineStr">
        <is>
          <t>[OPEN] Available</t>
        </is>
      </c>
      <c r="D7" s="5" t="inlineStr">
        <is>
          <t>5:00-5:50</t>
        </is>
      </c>
      <c r="E7" s="6" t="inlineStr">
        <is>
          <t>[OPEN] Available</t>
        </is>
      </c>
      <c r="F7" s="5" t="inlineStr">
        <is>
          <t>5:00-5:50</t>
        </is>
      </c>
      <c r="G7" s="6" t="inlineStr">
        <is>
          <t>U9 Adv</t>
        </is>
      </c>
      <c r="H7" s="5" t="inlineStr">
        <is>
          <t>5:00-5:50</t>
        </is>
      </c>
      <c r="I7" s="6" t="inlineStr">
        <is>
          <t>U7-5 Orange</t>
        </is>
      </c>
      <c r="J7" s="5" t="inlineStr">
        <is>
          <t>5:00-5:50</t>
        </is>
      </c>
      <c r="K7" s="6" t="inlineStr">
        <is>
          <t>[OPEN] Available</t>
        </is>
      </c>
    </row>
    <row r="8">
      <c r="B8" s="5" t="inlineStr">
        <is>
          <t>6:00-6:50</t>
        </is>
      </c>
      <c r="C8" s="6" t="inlineStr">
        <is>
          <t>U9 Int</t>
        </is>
      </c>
      <c r="D8" s="5" t="inlineStr">
        <is>
          <t>6:00-6:50</t>
        </is>
      </c>
      <c r="E8" s="6" t="inlineStr">
        <is>
          <t>U13B</t>
        </is>
      </c>
      <c r="F8" s="5" t="inlineStr">
        <is>
          <t>6:00-6:50</t>
        </is>
      </c>
      <c r="G8" s="6" t="inlineStr">
        <is>
          <t>U11B</t>
        </is>
      </c>
      <c r="H8" s="5" t="inlineStr">
        <is>
          <t>6:00-6:50</t>
        </is>
      </c>
      <c r="I8" s="6" t="inlineStr">
        <is>
          <t>U13 Campbell</t>
        </is>
      </c>
      <c r="J8" s="5" t="inlineStr">
        <is>
          <t>6:00-6:50</t>
        </is>
      </c>
      <c r="K8" s="6" t="inlineStr">
        <is>
          <t>U11 Simms</t>
        </is>
      </c>
    </row>
    <row r="9">
      <c r="B9" s="5" t="inlineStr">
        <is>
          <t>7:00-7:50</t>
        </is>
      </c>
      <c r="C9" s="6" t="inlineStr">
        <is>
          <t>U11A</t>
        </is>
      </c>
      <c r="D9" s="5" t="inlineStr">
        <is>
          <t>7:00-7:50</t>
        </is>
      </c>
      <c r="E9" s="6" t="inlineStr">
        <is>
          <t>U15A</t>
        </is>
      </c>
      <c r="F9" s="5" t="inlineStr">
        <is>
          <t>7:00-7:50</t>
        </is>
      </c>
      <c r="G9" s="6" t="inlineStr">
        <is>
          <t>U18A</t>
        </is>
      </c>
      <c r="H9" s="5" t="inlineStr">
        <is>
          <t>7:00-7:50</t>
        </is>
      </c>
      <c r="I9" s="6" t="inlineStr">
        <is>
          <t>U15 Bernard</t>
        </is>
      </c>
      <c r="J9" s="5" t="inlineStr">
        <is>
          <t>7:00-7:50</t>
        </is>
      </c>
      <c r="K9" s="6" t="inlineStr">
        <is>
          <t>U18 Wood</t>
        </is>
      </c>
    </row>
    <row r="10">
      <c r="B10" s="5" t="inlineStr"/>
      <c r="C10" s="6" t="inlineStr"/>
      <c r="D10" s="5" t="inlineStr"/>
      <c r="E10" s="6" t="inlineStr"/>
      <c r="F10" s="5" t="inlineStr"/>
      <c r="G10" s="6" t="inlineStr"/>
      <c r="H10" s="5" t="inlineStr"/>
      <c r="I10" s="6" t="inlineStr"/>
      <c r="J10" s="5" t="inlineStr"/>
      <c r="K10" s="6" t="inlineStr"/>
    </row>
    <row r="11">
      <c r="B11" s="5" t="inlineStr"/>
      <c r="C11" s="6" t="inlineStr"/>
      <c r="D11" s="5" t="inlineStr"/>
      <c r="E11" s="6" t="inlineStr"/>
      <c r="F11" s="5" t="inlineStr"/>
      <c r="G11" s="6" t="inlineStr"/>
      <c r="H11" s="5" t="inlineStr"/>
      <c r="I11" s="6" t="inlineStr"/>
      <c r="J11" s="5" t="inlineStr"/>
      <c r="K11" s="6" t="inlineStr"/>
    </row>
    <row r="12">
      <c r="B12" s="5" t="inlineStr"/>
      <c r="C12" s="6" t="inlineStr"/>
      <c r="D12" s="5" t="inlineStr"/>
      <c r="E12" s="6" t="inlineStr"/>
      <c r="F12" s="5" t="inlineStr"/>
      <c r="G12" s="6" t="inlineStr"/>
      <c r="H12" s="5" t="inlineStr"/>
      <c r="I12" s="6" t="inlineStr"/>
      <c r="J12" s="5" t="inlineStr"/>
      <c r="K12" s="6" t="inlineStr"/>
    </row>
    <row r="13">
      <c r="B13" s="14" t="inlineStr">
        <is>
          <t>Monday</t>
        </is>
      </c>
      <c r="D13" s="14" t="inlineStr">
        <is>
          <t>Tuesday</t>
        </is>
      </c>
      <c r="F13" s="14" t="inlineStr">
        <is>
          <t>Wednesday</t>
        </is>
      </c>
      <c r="H13" s="14" t="inlineStr">
        <is>
          <t>Thursday</t>
        </is>
      </c>
      <c r="J13" s="14" t="inlineStr">
        <is>
          <t>Friday</t>
        </is>
      </c>
    </row>
    <row r="14">
      <c r="B14" s="16" t="inlineStr">
        <is>
          <t>Stadium</t>
        </is>
      </c>
      <c r="C14" s="16" t="inlineStr"/>
      <c r="D14" s="16" t="inlineStr">
        <is>
          <t>Stadium</t>
        </is>
      </c>
      <c r="E14" s="16" t="inlineStr"/>
      <c r="F14" s="16" t="inlineStr">
        <is>
          <t>Stadium</t>
        </is>
      </c>
      <c r="G14" s="16" t="inlineStr"/>
      <c r="H14" s="16" t="inlineStr">
        <is>
          <t>Stadium</t>
        </is>
      </c>
      <c r="I14" s="16" t="inlineStr"/>
      <c r="J14" s="16" t="inlineStr">
        <is>
          <t>Stadium</t>
        </is>
      </c>
      <c r="K14" s="16" t="inlineStr"/>
      <c r="M14" s="17" t="inlineStr">
        <is>
          <t>Extra Notes / Instructions</t>
        </is>
      </c>
    </row>
    <row r="15">
      <c r="B15" s="5" t="inlineStr">
        <is>
          <t>Time</t>
        </is>
      </c>
      <c r="C15" s="5" t="inlineStr">
        <is>
          <t>Team</t>
        </is>
      </c>
      <c r="D15" s="5" t="inlineStr">
        <is>
          <t>Time</t>
        </is>
      </c>
      <c r="E15" s="5" t="inlineStr">
        <is>
          <t>Team</t>
        </is>
      </c>
      <c r="F15" s="5" t="inlineStr">
        <is>
          <t>Time</t>
        </is>
      </c>
      <c r="G15" s="5" t="inlineStr">
        <is>
          <t>Team</t>
        </is>
      </c>
      <c r="H15" s="5" t="inlineStr">
        <is>
          <t>Time</t>
        </is>
      </c>
      <c r="I15" s="5" t="inlineStr">
        <is>
          <t>Team</t>
        </is>
      </c>
      <c r="J15" s="5" t="inlineStr">
        <is>
          <t>Time</t>
        </is>
      </c>
      <c r="K15" s="5" t="inlineStr">
        <is>
          <t>Team</t>
        </is>
      </c>
      <c r="M15" s="2" t="inlineStr">
        <is>
          <t>Select teams from dropdown or type directly.</t>
        </is>
      </c>
    </row>
    <row r="16">
      <c r="B16" s="5" t="inlineStr">
        <is>
          <t>5:30-6:20</t>
        </is>
      </c>
      <c r="C16" s="6" t="inlineStr">
        <is>
          <t>[DEAD] Released Ice</t>
        </is>
      </c>
      <c r="D16" s="5" t="inlineStr">
        <is>
          <t>5:00-5:50</t>
        </is>
      </c>
      <c r="E16" s="6" t="inlineStr">
        <is>
          <t>U13AAA</t>
        </is>
      </c>
      <c r="F16" s="5" t="inlineStr">
        <is>
          <t>6:00-6:50</t>
        </is>
      </c>
      <c r="G16" s="6" t="inlineStr">
        <is>
          <t>[OPEN] Available</t>
        </is>
      </c>
      <c r="H16" s="5" t="inlineStr">
        <is>
          <t>6:00-6:50</t>
        </is>
      </c>
      <c r="I16" s="6" t="inlineStr">
        <is>
          <t>[OPEN] Available</t>
        </is>
      </c>
      <c r="J16" s="5" t="inlineStr">
        <is>
          <t>5:30-6:50</t>
        </is>
      </c>
      <c r="K16" s="6" t="inlineStr">
        <is>
          <t>U15AA (Game)</t>
        </is>
      </c>
      <c r="M16" s="2" t="inlineStr">
        <is>
          <t>Use [OPEN] for available ice, [HOLD] for tentative.</t>
        </is>
      </c>
    </row>
    <row r="17">
      <c r="B17" s="5" t="inlineStr">
        <is>
          <t>6:30-7:20</t>
        </is>
      </c>
      <c r="C17" s="6" t="inlineStr">
        <is>
          <t>U13A</t>
        </is>
      </c>
      <c r="D17" s="5" t="inlineStr">
        <is>
          <t>6:00-6:50</t>
        </is>
      </c>
      <c r="E17" s="6" t="inlineStr">
        <is>
          <t>[HOLD] Tentative</t>
        </is>
      </c>
      <c r="F17" s="5" t="inlineStr">
        <is>
          <t>7:00-7:50</t>
        </is>
      </c>
      <c r="G17" s="6" t="inlineStr">
        <is>
          <t>U11AA</t>
        </is>
      </c>
      <c r="H17" s="5" t="inlineStr">
        <is>
          <t>7:00-7:50</t>
        </is>
      </c>
      <c r="I17" s="6" t="inlineStr">
        <is>
          <t>U11AA</t>
        </is>
      </c>
      <c r="J17" s="5" t="inlineStr">
        <is>
          <t>7:00-7:50</t>
        </is>
      </c>
      <c r="K17" s="6" t="inlineStr">
        <is>
          <t>U18A</t>
        </is>
      </c>
      <c r="M17" s="2" t="inlineStr">
        <is>
          <t>Add (Game) to team for automatic lavender highlight.</t>
        </is>
      </c>
    </row>
    <row r="18">
      <c r="B18" s="5" t="inlineStr">
        <is>
          <t>7:30-8:20</t>
        </is>
      </c>
      <c r="C18" s="6" t="inlineStr">
        <is>
          <t>U15AA</t>
        </is>
      </c>
      <c r="D18" s="5" t="inlineStr">
        <is>
          <t>7:00-7:50</t>
        </is>
      </c>
      <c r="E18" s="6" t="inlineStr">
        <is>
          <t>U13AA</t>
        </is>
      </c>
      <c r="F18" s="5" t="inlineStr">
        <is>
          <t>8:00-8:50</t>
        </is>
      </c>
      <c r="G18" s="6" t="inlineStr">
        <is>
          <t>U13AAA</t>
        </is>
      </c>
      <c r="H18" s="5" t="inlineStr">
        <is>
          <t>8:00-8:50</t>
        </is>
      </c>
      <c r="I18" s="6" t="inlineStr">
        <is>
          <t>U13AAA</t>
        </is>
      </c>
      <c r="J18" s="5" t="inlineStr">
        <is>
          <t>8:00-8:50</t>
        </is>
      </c>
      <c r="K18" s="6" t="inlineStr">
        <is>
          <t>U18AA</t>
        </is>
      </c>
    </row>
    <row r="19">
      <c r="B19" s="5" t="inlineStr"/>
      <c r="C19" s="6" t="inlineStr"/>
      <c r="D19" s="5" t="inlineStr">
        <is>
          <t>8:00-8:50</t>
        </is>
      </c>
      <c r="E19" s="6" t="inlineStr">
        <is>
          <t>U15A</t>
        </is>
      </c>
      <c r="F19" s="5" t="inlineStr"/>
      <c r="G19" s="6" t="inlineStr"/>
      <c r="H19" s="5" t="inlineStr"/>
      <c r="I19" s="6" t="inlineStr"/>
      <c r="J19" s="5" t="inlineStr"/>
      <c r="K19" s="6" t="inlineStr"/>
    </row>
    <row r="20">
      <c r="B20" s="5" t="inlineStr"/>
      <c r="C20" s="6" t="inlineStr"/>
      <c r="D20" s="5" t="inlineStr"/>
      <c r="E20" s="6" t="inlineStr"/>
      <c r="F20" s="5" t="inlineStr"/>
      <c r="G20" s="6" t="inlineStr"/>
      <c r="H20" s="5" t="inlineStr"/>
      <c r="I20" s="6" t="inlineStr"/>
      <c r="J20" s="5" t="inlineStr"/>
      <c r="K20" s="6" t="inlineStr"/>
    </row>
    <row r="21">
      <c r="B21" s="5" t="inlineStr"/>
      <c r="C21" s="6" t="inlineStr"/>
      <c r="D21" s="5" t="inlineStr"/>
      <c r="E21" s="6" t="inlineStr"/>
      <c r="F21" s="5" t="inlineStr"/>
      <c r="G21" s="6" t="inlineStr"/>
      <c r="H21" s="5" t="inlineStr"/>
      <c r="I21" s="6" t="inlineStr"/>
      <c r="J21" s="5" t="inlineStr"/>
      <c r="K21" s="6" t="inlineStr"/>
    </row>
    <row r="22">
      <c r="B22" s="14" t="inlineStr">
        <is>
          <t>Monday</t>
        </is>
      </c>
      <c r="D22" s="14" t="inlineStr">
        <is>
          <t>Tuesday</t>
        </is>
      </c>
      <c r="F22" s="14" t="inlineStr">
        <is>
          <t>Wednesday</t>
        </is>
      </c>
      <c r="H22" s="14" t="inlineStr">
        <is>
          <t>Thursday</t>
        </is>
      </c>
      <c r="J22" s="14" t="inlineStr">
        <is>
          <t>Friday</t>
        </is>
      </c>
    </row>
    <row r="23">
      <c r="B23" s="18" t="inlineStr">
        <is>
          <t>RECC</t>
        </is>
      </c>
      <c r="C23" s="18" t="inlineStr"/>
      <c r="D23" s="18" t="inlineStr">
        <is>
          <t>RECC</t>
        </is>
      </c>
      <c r="E23" s="18" t="inlineStr"/>
      <c r="F23" s="18" t="inlineStr">
        <is>
          <t>RECC</t>
        </is>
      </c>
      <c r="G23" s="18" t="inlineStr"/>
      <c r="H23" s="18" t="inlineStr">
        <is>
          <t>RECC</t>
        </is>
      </c>
      <c r="I23" s="18" t="inlineStr"/>
      <c r="J23" s="18" t="inlineStr">
        <is>
          <t>RECC</t>
        </is>
      </c>
      <c r="K23" s="18" t="inlineStr"/>
    </row>
    <row r="24">
      <c r="B24" s="5" t="inlineStr">
        <is>
          <t>Time</t>
        </is>
      </c>
      <c r="C24" s="5" t="inlineStr">
        <is>
          <t>Team</t>
        </is>
      </c>
      <c r="D24" s="5" t="inlineStr">
        <is>
          <t>Time</t>
        </is>
      </c>
      <c r="E24" s="5" t="inlineStr">
        <is>
          <t>Team</t>
        </is>
      </c>
      <c r="F24" s="5" t="inlineStr">
        <is>
          <t>Time</t>
        </is>
      </c>
      <c r="G24" s="5" t="inlineStr">
        <is>
          <t>Team</t>
        </is>
      </c>
      <c r="H24" s="5" t="inlineStr">
        <is>
          <t>Time</t>
        </is>
      </c>
      <c r="I24" s="5" t="inlineStr">
        <is>
          <t>Team</t>
        </is>
      </c>
      <c r="J24" s="5" t="inlineStr">
        <is>
          <t>Time</t>
        </is>
      </c>
      <c r="K24" s="5" t="inlineStr">
        <is>
          <t>Team</t>
        </is>
      </c>
    </row>
    <row r="25">
      <c r="B25" s="5" t="inlineStr">
        <is>
          <t>7:30-8:20</t>
        </is>
      </c>
      <c r="C25" s="6" t="inlineStr">
        <is>
          <t>U13 Campbell</t>
        </is>
      </c>
      <c r="D25" s="5" t="inlineStr">
        <is>
          <t>5:30-6:20</t>
        </is>
      </c>
      <c r="E25" s="6" t="inlineStr">
        <is>
          <t>U11B (Game)</t>
        </is>
      </c>
      <c r="F25" s="5" t="inlineStr">
        <is>
          <t>5:30-6:20</t>
        </is>
      </c>
      <c r="G25" s="6" t="inlineStr">
        <is>
          <t>U18 Masters</t>
        </is>
      </c>
      <c r="H25" s="5" t="inlineStr">
        <is>
          <t>5:00-5:50</t>
        </is>
      </c>
      <c r="I25" s="6" t="inlineStr">
        <is>
          <t>[OPEN] Available</t>
        </is>
      </c>
      <c r="J25" s="5" t="inlineStr">
        <is>
          <t>5:00-5:50</t>
        </is>
      </c>
      <c r="K25" s="6" t="inlineStr">
        <is>
          <t>U11A (Game)</t>
        </is>
      </c>
    </row>
    <row r="26">
      <c r="B26" s="5" t="inlineStr">
        <is>
          <t>8:30-9:20</t>
        </is>
      </c>
      <c r="C26" s="6" t="inlineStr">
        <is>
          <t>U15 Campbell</t>
        </is>
      </c>
      <c r="D26" s="5" t="inlineStr">
        <is>
          <t>6:30-7:20</t>
        </is>
      </c>
      <c r="E26" s="6" t="inlineStr">
        <is>
          <t>U13AA</t>
        </is>
      </c>
      <c r="F26" s="5" t="inlineStr">
        <is>
          <t>6:30-7:20</t>
        </is>
      </c>
      <c r="G26" s="6" t="inlineStr">
        <is>
          <t>U18 Wood</t>
        </is>
      </c>
      <c r="H26" s="5" t="inlineStr">
        <is>
          <t>6:00-6:50</t>
        </is>
      </c>
      <c r="I26" s="6" t="inlineStr">
        <is>
          <t>JrA Games</t>
        </is>
      </c>
      <c r="J26" s="5" t="inlineStr">
        <is>
          <t>6:00-6:50</t>
        </is>
      </c>
      <c r="K26" s="6" t="inlineStr">
        <is>
          <t>U13A (Game)</t>
        </is>
      </c>
    </row>
    <row r="27">
      <c r="B27" s="5" t="inlineStr"/>
      <c r="C27" s="6" t="inlineStr"/>
      <c r="D27" s="5" t="inlineStr"/>
      <c r="E27" s="6" t="inlineStr"/>
      <c r="F27" s="5" t="inlineStr">
        <is>
          <t>7:30-8:20</t>
        </is>
      </c>
      <c r="G27" s="6" t="inlineStr">
        <is>
          <t>U13B</t>
        </is>
      </c>
      <c r="H27" s="5" t="inlineStr">
        <is>
          <t>7:00-7:50</t>
        </is>
      </c>
      <c r="I27" s="6" t="inlineStr">
        <is>
          <t>JrA Games</t>
        </is>
      </c>
      <c r="J27" s="5" t="inlineStr">
        <is>
          <t>7:00-7:50</t>
        </is>
      </c>
      <c r="K27" s="6" t="inlineStr">
        <is>
          <t>U18AA (Game)</t>
        </is>
      </c>
    </row>
    <row r="28">
      <c r="B28" s="5" t="inlineStr"/>
      <c r="C28" s="6" t="inlineStr"/>
      <c r="D28" s="5" t="inlineStr"/>
      <c r="E28" s="6" t="inlineStr"/>
      <c r="F28" s="5" t="inlineStr"/>
      <c r="G28" s="6" t="inlineStr"/>
      <c r="H28" s="5" t="inlineStr"/>
      <c r="I28" s="6" t="inlineStr"/>
      <c r="J28" s="5" t="inlineStr"/>
      <c r="K28" s="6" t="inlineStr"/>
    </row>
    <row r="29">
      <c r="B29" s="5" t="inlineStr"/>
      <c r="C29" s="6" t="inlineStr"/>
      <c r="D29" s="5" t="inlineStr"/>
      <c r="E29" s="6" t="inlineStr"/>
      <c r="F29" s="5" t="inlineStr"/>
      <c r="G29" s="6" t="inlineStr"/>
      <c r="H29" s="5" t="inlineStr"/>
      <c r="I29" s="6" t="inlineStr"/>
      <c r="J29" s="5" t="inlineStr"/>
      <c r="K29" s="6" t="inlineStr"/>
    </row>
    <row r="30">
      <c r="B30" s="5" t="inlineStr"/>
      <c r="C30" s="6" t="inlineStr"/>
      <c r="D30" s="5" t="inlineStr"/>
      <c r="E30" s="6" t="inlineStr"/>
      <c r="F30" s="5" t="inlineStr"/>
      <c r="G30" s="6" t="inlineStr"/>
      <c r="H30" s="5" t="inlineStr"/>
      <c r="I30" s="6" t="inlineStr"/>
      <c r="J30" s="5" t="inlineStr"/>
      <c r="K30" s="6" t="inlineStr"/>
    </row>
    <row r="31">
      <c r="B31" s="14" t="inlineStr">
        <is>
          <t>Monday</t>
        </is>
      </c>
      <c r="D31" s="14" t="inlineStr">
        <is>
          <t>Tuesday</t>
        </is>
      </c>
      <c r="F31" s="14" t="inlineStr">
        <is>
          <t>Wednesday</t>
        </is>
      </c>
      <c r="H31" s="14" t="inlineStr">
        <is>
          <t>Thursday</t>
        </is>
      </c>
      <c r="J31" s="14" t="inlineStr">
        <is>
          <t>Friday</t>
        </is>
      </c>
    </row>
    <row r="32">
      <c r="B32" s="19" t="inlineStr">
        <is>
          <t>Debert</t>
        </is>
      </c>
      <c r="C32" s="19" t="inlineStr"/>
      <c r="D32" s="19" t="inlineStr">
        <is>
          <t>Debert</t>
        </is>
      </c>
      <c r="E32" s="19" t="inlineStr"/>
      <c r="F32" s="19" t="inlineStr">
        <is>
          <t>Debert</t>
        </is>
      </c>
      <c r="G32" s="19" t="inlineStr"/>
      <c r="H32" s="19" t="inlineStr">
        <is>
          <t>Debert</t>
        </is>
      </c>
      <c r="I32" s="19" t="inlineStr"/>
      <c r="J32" s="19" t="inlineStr">
        <is>
          <t>Debert</t>
        </is>
      </c>
      <c r="K32" s="19" t="inlineStr"/>
    </row>
    <row r="33">
      <c r="B33" s="5" t="inlineStr">
        <is>
          <t>Time</t>
        </is>
      </c>
      <c r="C33" s="5" t="inlineStr">
        <is>
          <t>Team</t>
        </is>
      </c>
      <c r="D33" s="5" t="inlineStr">
        <is>
          <t>Time</t>
        </is>
      </c>
      <c r="E33" s="5" t="inlineStr">
        <is>
          <t>Team</t>
        </is>
      </c>
      <c r="F33" s="5" t="inlineStr">
        <is>
          <t>Time</t>
        </is>
      </c>
      <c r="G33" s="5" t="inlineStr">
        <is>
          <t>Team</t>
        </is>
      </c>
      <c r="H33" s="5" t="inlineStr">
        <is>
          <t>Time</t>
        </is>
      </c>
      <c r="I33" s="5" t="inlineStr">
        <is>
          <t>Team</t>
        </is>
      </c>
      <c r="J33" s="5" t="inlineStr">
        <is>
          <t>Time</t>
        </is>
      </c>
      <c r="K33" s="5" t="inlineStr">
        <is>
          <t>Team</t>
        </is>
      </c>
    </row>
    <row r="34">
      <c r="B34" s="5" t="inlineStr">
        <is>
          <t>5:00-5:50</t>
        </is>
      </c>
      <c r="C34" s="6" t="inlineStr">
        <is>
          <t>U7-5 Blue</t>
        </is>
      </c>
      <c r="D34" s="5" t="inlineStr">
        <is>
          <t>5:00-5:50</t>
        </is>
      </c>
      <c r="E34" s="6" t="inlineStr">
        <is>
          <t>U11 Bernard</t>
        </is>
      </c>
      <c r="F34" s="5" t="inlineStr">
        <is>
          <t>5:00-5:50</t>
        </is>
      </c>
      <c r="G34" s="6" t="inlineStr">
        <is>
          <t>U7-6</t>
        </is>
      </c>
      <c r="H34" s="5" t="inlineStr">
        <is>
          <t>5:00-5:50</t>
        </is>
      </c>
      <c r="I34" s="6" t="inlineStr">
        <is>
          <t>[HOLD] Tentative</t>
        </is>
      </c>
      <c r="J34" s="5" t="inlineStr">
        <is>
          <t>5:00-5:50</t>
        </is>
      </c>
      <c r="K34" s="6" t="inlineStr">
        <is>
          <t>[OPEN] Available</t>
        </is>
      </c>
    </row>
    <row r="35">
      <c r="B35" s="5" t="inlineStr">
        <is>
          <t>6:00-6:50</t>
        </is>
      </c>
      <c r="C35" s="6" t="inlineStr">
        <is>
          <t>U9 John</t>
        </is>
      </c>
      <c r="D35" s="5" t="inlineStr">
        <is>
          <t>6:00-6:50</t>
        </is>
      </c>
      <c r="E35" s="6" t="inlineStr">
        <is>
          <t>U13 Cameron</t>
        </is>
      </c>
      <c r="F35" s="5" t="inlineStr">
        <is>
          <t>6:00-6:50</t>
        </is>
      </c>
      <c r="G35" s="6" t="inlineStr">
        <is>
          <t>U9 Jayasinghe</t>
        </is>
      </c>
      <c r="H35" s="5" t="inlineStr">
        <is>
          <t>6:00-6:50</t>
        </is>
      </c>
      <c r="I35" s="6" t="inlineStr">
        <is>
          <t>TAMHA Development</t>
        </is>
      </c>
      <c r="J35" s="5" t="inlineStr">
        <is>
          <t>6:00-6:50</t>
        </is>
      </c>
      <c r="K35" s="6" t="inlineStr">
        <is>
          <t>[OPEN] Available</t>
        </is>
      </c>
    </row>
    <row r="36">
      <c r="B36" s="5" t="inlineStr"/>
      <c r="C36" s="6" t="inlineStr"/>
      <c r="D36" s="5" t="inlineStr"/>
      <c r="E36" s="6" t="inlineStr"/>
      <c r="F36" s="5" t="inlineStr"/>
      <c r="G36" s="6" t="inlineStr"/>
      <c r="H36" s="5" t="inlineStr"/>
      <c r="I36" s="6" t="inlineStr"/>
      <c r="J36" s="5" t="inlineStr"/>
      <c r="K36" s="6" t="inlineStr"/>
    </row>
    <row r="37">
      <c r="B37" s="5" t="inlineStr"/>
      <c r="C37" s="6" t="inlineStr"/>
      <c r="D37" s="5" t="inlineStr"/>
      <c r="E37" s="6" t="inlineStr"/>
      <c r="F37" s="5" t="inlineStr"/>
      <c r="G37" s="6" t="inlineStr"/>
      <c r="H37" s="5" t="inlineStr"/>
      <c r="I37" s="6" t="inlineStr"/>
      <c r="J37" s="5" t="inlineStr"/>
      <c r="K37" s="6" t="inlineStr"/>
    </row>
    <row r="38">
      <c r="B38" s="5" t="inlineStr"/>
      <c r="C38" s="6" t="inlineStr"/>
      <c r="D38" s="5" t="inlineStr"/>
      <c r="E38" s="6" t="inlineStr"/>
      <c r="F38" s="5" t="inlineStr"/>
      <c r="G38" s="6" t="inlineStr"/>
      <c r="H38" s="5" t="inlineStr"/>
      <c r="I38" s="6" t="inlineStr"/>
      <c r="J38" s="5" t="inlineStr"/>
      <c r="K38" s="6" t="inlineStr"/>
    </row>
    <row r="39">
      <c r="B39" s="5" t="inlineStr"/>
      <c r="C39" s="6" t="inlineStr"/>
      <c r="D39" s="5" t="inlineStr"/>
      <c r="E39" s="6" t="inlineStr"/>
      <c r="F39" s="5" t="inlineStr"/>
      <c r="G39" s="6" t="inlineStr"/>
      <c r="H39" s="5" t="inlineStr"/>
      <c r="I39" s="6" t="inlineStr"/>
      <c r="J39" s="5" t="inlineStr"/>
      <c r="K39" s="6" t="inlineStr"/>
    </row>
  </sheetData>
  <conditionalFormatting sqref="B4:K45">
    <cfRule type="cellIs" priority="1" operator="equal" dxfId="0" stopIfTrue="1">
      <formula>"[OPEN] Available"</formula>
    </cfRule>
    <cfRule type="cellIs" priority="2" operator="equal" dxfId="1" stopIfTrue="1">
      <formula>"[HOLD] Tentative"</formula>
    </cfRule>
    <cfRule type="cellIs" priority="3" operator="equal" dxfId="2" stopIfTrue="1">
      <formula>"[DEAD] Released Ice"</formula>
    </cfRule>
    <cfRule type="cellIs" priority="4" operator="equal" dxfId="3" stopIfTrue="1">
      <formula>"JrA Games"</formula>
    </cfRule>
    <cfRule type="cellIs" priority="5" operator="equal" dxfId="3" stopIfTrue="1">
      <formula>"Senior Game"</formula>
    </cfRule>
    <cfRule type="cellIs" priority="6" operator="equal" dxfId="4" stopIfTrue="1">
      <formula>"TAMHA Development"</formula>
    </cfRule>
    <cfRule type="cellIs" priority="7" operator="equal" dxfId="4" stopIfTrue="1">
      <formula>"Officials"</formula>
    </cfRule>
    <cfRule type="containsText" priority="8" operator="containsText" dxfId="5" text="Game">
      <formula>NOT(ISERROR(SEARCH("Game", B4)))</formula>
    </cfRule>
  </conditionalFormatting>
  <dataValidations count="1">
    <dataValidation sqref="C7 C8 C9 C10 C11 C12 C16 C17 C18 C19 C20 C21 C25 C26 C27 C28 C29 C30 C34 C35 C36 C37 C38 C39 E7 E8 E9 E10 E11 E12 E16 E17 E18 E19 E20 E21 E25 E26 E27 E28 E29 E30 E34 E35 E36 E37 E38 E39 G7 G8 G9 G10 G11 G12 G16 G17 G18 G19 G20 G21 G25 G26 G27 G28 G29 G30 G34 G35 G36 G37 G38 G39 I7 I8 I9 I10 I11 I12 I16 I17 I18 I19 I20 I21 I25 I26 I27 I28 I29 I30 I34 I35 I36 I37 I38 I39 K7 K8 K9 K10 K11 K12 K16 K17 K18 K19 K20 K21 K25 K26 K27 K28 K29 K30 K34 K35 K36 K37 K38 K39" showDropDown="0" showInputMessage="0" showErrorMessage="0" allowBlank="1" type="list">
      <formula1>=Teams_and_Divisions!$C$5:$C$50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J2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3">
      <c r="B3" s="17" t="inlineStr">
        <is>
          <t>Saturday</t>
        </is>
      </c>
      <c r="D3" s="17" t="inlineStr">
        <is>
          <t>Sunday</t>
        </is>
      </c>
      <c r="G3" s="17" t="inlineStr">
        <is>
          <t>Saturday</t>
        </is>
      </c>
      <c r="I3" s="17" t="inlineStr">
        <is>
          <t>Sunday</t>
        </is>
      </c>
    </row>
    <row r="4">
      <c r="B4" s="20" t="inlineStr">
        <is>
          <t>Deuvilles</t>
        </is>
      </c>
      <c r="C4" s="20" t="inlineStr"/>
      <c r="D4" s="20" t="inlineStr"/>
      <c r="E4" s="20" t="inlineStr"/>
      <c r="G4" s="21" t="inlineStr">
        <is>
          <t>Stadium</t>
        </is>
      </c>
      <c r="H4" s="21" t="inlineStr"/>
      <c r="I4" s="21" t="inlineStr"/>
      <c r="J4" s="21" t="inlineStr"/>
    </row>
    <row r="5">
      <c r="B5" s="5" t="inlineStr">
        <is>
          <t>Time</t>
        </is>
      </c>
      <c r="C5" s="5" t="inlineStr">
        <is>
          <t>Team</t>
        </is>
      </c>
      <c r="D5" s="5" t="inlineStr">
        <is>
          <t>Time</t>
        </is>
      </c>
      <c r="E5" s="5" t="inlineStr">
        <is>
          <t>Team</t>
        </is>
      </c>
      <c r="G5" s="5" t="inlineStr">
        <is>
          <t>Time</t>
        </is>
      </c>
      <c r="H5" s="5" t="inlineStr">
        <is>
          <t>Team</t>
        </is>
      </c>
      <c r="I5" s="5" t="inlineStr">
        <is>
          <t>Time</t>
        </is>
      </c>
      <c r="J5" s="5" t="inlineStr">
        <is>
          <t>Team</t>
        </is>
      </c>
    </row>
    <row r="6">
      <c r="B6" s="22" t="inlineStr"/>
      <c r="C6" s="22" t="inlineStr"/>
      <c r="D6" s="22" t="inlineStr"/>
      <c r="E6" s="22" t="inlineStr"/>
      <c r="G6" s="5" t="inlineStr">
        <is>
          <t>9:00-9:50</t>
        </is>
      </c>
      <c r="H6" s="6" t="inlineStr">
        <is>
          <t>U11 Bernard</t>
        </is>
      </c>
      <c r="I6" s="5" t="inlineStr">
        <is>
          <t>9:00-9:50</t>
        </is>
      </c>
      <c r="J6" s="6" t="inlineStr">
        <is>
          <t>U11 Simms</t>
        </is>
      </c>
    </row>
    <row r="7">
      <c r="B7" s="22" t="inlineStr"/>
      <c r="C7" s="22" t="inlineStr"/>
      <c r="D7" s="22" t="inlineStr"/>
      <c r="E7" s="22" t="inlineStr"/>
      <c r="G7" s="5" t="inlineStr">
        <is>
          <t>10:00-10:50</t>
        </is>
      </c>
      <c r="H7" s="6" t="inlineStr">
        <is>
          <t>U13 Campbell</t>
        </is>
      </c>
      <c r="I7" s="5" t="inlineStr">
        <is>
          <t>10:00-10:50</t>
        </is>
      </c>
      <c r="J7" s="6" t="inlineStr">
        <is>
          <t>U13 Cameron</t>
        </is>
      </c>
    </row>
    <row r="8">
      <c r="B8" s="22" t="inlineStr"/>
      <c r="C8" s="22" t="inlineStr"/>
      <c r="D8" s="22" t="inlineStr"/>
      <c r="E8" s="22" t="inlineStr"/>
      <c r="G8" s="5" t="inlineStr">
        <is>
          <t>11:00-11:50</t>
        </is>
      </c>
      <c r="H8" s="6" t="inlineStr">
        <is>
          <t>U15 Bernard</t>
        </is>
      </c>
      <c r="I8" s="5" t="inlineStr">
        <is>
          <t>11:00-11:50</t>
        </is>
      </c>
      <c r="J8" s="6" t="inlineStr">
        <is>
          <t>U15 Campbell</t>
        </is>
      </c>
    </row>
    <row r="9">
      <c r="B9" s="22" t="inlineStr"/>
      <c r="C9" s="22" t="inlineStr"/>
      <c r="D9" s="22" t="inlineStr"/>
      <c r="E9" s="22" t="inlineStr"/>
      <c r="G9" s="5" t="inlineStr">
        <is>
          <t>12:00-12:50</t>
        </is>
      </c>
      <c r="H9" s="6" t="inlineStr">
        <is>
          <t>U18 Masters</t>
        </is>
      </c>
      <c r="I9" s="5" t="inlineStr">
        <is>
          <t>12:00-12:50</t>
        </is>
      </c>
      <c r="J9" s="6" t="inlineStr">
        <is>
          <t>U18 Wood</t>
        </is>
      </c>
    </row>
    <row r="10">
      <c r="B10" s="22" t="inlineStr"/>
      <c r="C10" s="22" t="inlineStr"/>
      <c r="D10" s="22" t="inlineStr"/>
      <c r="E10" s="22" t="inlineStr"/>
      <c r="G10" s="5" t="inlineStr">
        <is>
          <t>1:00-1:50</t>
        </is>
      </c>
      <c r="H10" s="6" t="inlineStr">
        <is>
          <t>Officials</t>
        </is>
      </c>
      <c r="I10" s="5" t="inlineStr">
        <is>
          <t>1:00-2:20</t>
        </is>
      </c>
      <c r="J10" s="6" t="inlineStr">
        <is>
          <t>U13AA (Game)</t>
        </is>
      </c>
    </row>
    <row r="11">
      <c r="B11" s="22" t="inlineStr"/>
      <c r="C11" s="22" t="inlineStr"/>
      <c r="D11" s="22" t="inlineStr"/>
      <c r="E11" s="22" t="inlineStr"/>
      <c r="G11" s="5" t="inlineStr">
        <is>
          <t>2:00-2:50</t>
        </is>
      </c>
      <c r="H11" s="6" t="inlineStr">
        <is>
          <t>Officials</t>
        </is>
      </c>
      <c r="I11" s="5" t="inlineStr">
        <is>
          <t>2:30-3:50</t>
        </is>
      </c>
      <c r="J11" s="6" t="inlineStr">
        <is>
          <t>U15A (Game)</t>
        </is>
      </c>
    </row>
    <row r="12">
      <c r="B12" s="22" t="inlineStr"/>
      <c r="C12" s="22" t="inlineStr"/>
      <c r="D12" s="22" t="inlineStr"/>
      <c r="E12" s="22" t="inlineStr"/>
      <c r="G12" s="5" t="inlineStr">
        <is>
          <t>3:00-3:50</t>
        </is>
      </c>
      <c r="H12" s="6" t="inlineStr">
        <is>
          <t>U9 Int</t>
        </is>
      </c>
      <c r="I12" s="5" t="inlineStr">
        <is>
          <t>4:00-5:30</t>
        </is>
      </c>
      <c r="J12" s="6" t="inlineStr">
        <is>
          <t>U13A (Game)</t>
        </is>
      </c>
    </row>
    <row r="13">
      <c r="B13" s="22" t="inlineStr"/>
      <c r="C13" s="22" t="inlineStr"/>
      <c r="D13" s="22" t="inlineStr"/>
      <c r="E13" s="22" t="inlineStr"/>
      <c r="G13" s="5" t="inlineStr">
        <is>
          <t>4:00-4:50</t>
        </is>
      </c>
      <c r="H13" s="6" t="inlineStr">
        <is>
          <t>U9 Adv</t>
        </is>
      </c>
      <c r="I13" s="5" t="inlineStr">
        <is>
          <t>5:30-6:20</t>
        </is>
      </c>
      <c r="J13" s="6" t="inlineStr">
        <is>
          <t>[OPEN] Available</t>
        </is>
      </c>
    </row>
    <row r="14">
      <c r="B14" s="22" t="inlineStr"/>
      <c r="C14" s="22" t="inlineStr"/>
      <c r="D14" s="22" t="inlineStr"/>
      <c r="E14" s="22" t="inlineStr"/>
      <c r="G14" s="5" t="inlineStr">
        <is>
          <t>5:00-5:50</t>
        </is>
      </c>
      <c r="H14" s="6" t="inlineStr">
        <is>
          <t>U11B</t>
        </is>
      </c>
      <c r="I14" s="5" t="inlineStr">
        <is>
          <t>6:30-7:20</t>
        </is>
      </c>
      <c r="J14" s="6" t="inlineStr">
        <is>
          <t>[OPEN] Available</t>
        </is>
      </c>
    </row>
    <row r="18">
      <c r="B18" s="17" t="inlineStr">
        <is>
          <t>Saturday</t>
        </is>
      </c>
      <c r="D18" s="17" t="inlineStr">
        <is>
          <t>Sunday</t>
        </is>
      </c>
      <c r="G18" s="17" t="inlineStr">
        <is>
          <t>Saturday</t>
        </is>
      </c>
      <c r="I18" s="17" t="inlineStr">
        <is>
          <t>Sunday</t>
        </is>
      </c>
    </row>
    <row r="19">
      <c r="B19" s="23" t="inlineStr">
        <is>
          <t>RECC</t>
        </is>
      </c>
      <c r="C19" s="23" t="inlineStr"/>
      <c r="D19" s="23" t="inlineStr"/>
      <c r="E19" s="23" t="inlineStr"/>
      <c r="G19" s="24" t="inlineStr">
        <is>
          <t>Debert</t>
        </is>
      </c>
      <c r="H19" s="24" t="inlineStr"/>
      <c r="I19" s="24" t="inlineStr"/>
      <c r="J19" s="24" t="inlineStr"/>
    </row>
    <row r="20">
      <c r="B20" s="5" t="inlineStr">
        <is>
          <t>Time</t>
        </is>
      </c>
      <c r="C20" s="5" t="inlineStr">
        <is>
          <t>Team</t>
        </is>
      </c>
      <c r="D20" s="5" t="inlineStr">
        <is>
          <t>Time</t>
        </is>
      </c>
      <c r="E20" s="5" t="inlineStr">
        <is>
          <t>Team</t>
        </is>
      </c>
      <c r="G20" s="5" t="inlineStr">
        <is>
          <t>Time</t>
        </is>
      </c>
      <c r="H20" s="5" t="inlineStr">
        <is>
          <t>Team</t>
        </is>
      </c>
      <c r="I20" s="5" t="inlineStr">
        <is>
          <t>Time</t>
        </is>
      </c>
      <c r="J20" s="5" t="inlineStr">
        <is>
          <t>Team</t>
        </is>
      </c>
    </row>
    <row r="21">
      <c r="B21" s="5" t="inlineStr">
        <is>
          <t>8:30-10:00</t>
        </is>
      </c>
      <c r="C21" s="6" t="inlineStr">
        <is>
          <t>[DEAD] Released Ice</t>
        </is>
      </c>
      <c r="D21" s="5" t="inlineStr">
        <is>
          <t>9:00-9:50</t>
        </is>
      </c>
      <c r="E21" s="6" t="inlineStr">
        <is>
          <t>U9 Int</t>
        </is>
      </c>
      <c r="G21" s="22" t="inlineStr"/>
      <c r="H21" s="22" t="inlineStr"/>
      <c r="I21" s="22" t="inlineStr"/>
      <c r="J21" s="22" t="inlineStr"/>
    </row>
    <row r="22">
      <c r="B22" s="5" t="inlineStr">
        <is>
          <t>2:00-3:20</t>
        </is>
      </c>
      <c r="C22" s="6" t="inlineStr">
        <is>
          <t>U11AA (Game)</t>
        </is>
      </c>
      <c r="D22" s="5" t="inlineStr">
        <is>
          <t>10:00-10:50</t>
        </is>
      </c>
      <c r="E22" s="6" t="inlineStr">
        <is>
          <t>U9 Adv</t>
        </is>
      </c>
      <c r="G22" s="22" t="inlineStr"/>
      <c r="H22" s="22" t="inlineStr"/>
      <c r="I22" s="22" t="inlineStr"/>
      <c r="J22" s="22" t="inlineStr"/>
    </row>
    <row r="23">
      <c r="B23" s="5" t="inlineStr">
        <is>
          <t>3:30-4:50</t>
        </is>
      </c>
      <c r="C23" s="6" t="inlineStr">
        <is>
          <t>U13AAA (Game)</t>
        </is>
      </c>
      <c r="D23" s="5" t="inlineStr">
        <is>
          <t>11:00-11:50</t>
        </is>
      </c>
      <c r="E23" s="6" t="inlineStr">
        <is>
          <t>U18AA</t>
        </is>
      </c>
      <c r="G23" s="22" t="inlineStr"/>
      <c r="H23" s="22" t="inlineStr"/>
      <c r="I23" s="22" t="inlineStr"/>
      <c r="J23" s="22" t="inlineStr"/>
    </row>
    <row r="24">
      <c r="B24" s="5" t="inlineStr">
        <is>
          <t>5:00-6:20</t>
        </is>
      </c>
      <c r="C24" s="6" t="inlineStr">
        <is>
          <t>U15AA (Game)</t>
        </is>
      </c>
      <c r="D24" s="5" t="inlineStr">
        <is>
          <t>12:00-12:50</t>
        </is>
      </c>
      <c r="E24" s="6" t="inlineStr">
        <is>
          <t>U11A</t>
        </is>
      </c>
      <c r="G24" s="22" t="inlineStr"/>
      <c r="H24" s="22" t="inlineStr"/>
      <c r="I24" s="22" t="inlineStr"/>
      <c r="J24" s="22" t="inlineStr"/>
    </row>
    <row r="25">
      <c r="B25" s="5" t="inlineStr">
        <is>
          <t>6:30-7:50</t>
        </is>
      </c>
      <c r="C25" s="6" t="inlineStr">
        <is>
          <t>[OPEN] Available</t>
        </is>
      </c>
      <c r="D25" s="5" t="inlineStr">
        <is>
          <t>3:00-3:50</t>
        </is>
      </c>
      <c r="E25" s="6" t="inlineStr">
        <is>
          <t>U11B</t>
        </is>
      </c>
      <c r="G25" s="22" t="inlineStr"/>
      <c r="H25" s="22" t="inlineStr"/>
      <c r="I25" s="22" t="inlineStr"/>
      <c r="J25" s="22" t="inlineStr"/>
    </row>
    <row r="26">
      <c r="B26" s="5" t="inlineStr">
        <is>
          <t>8:00-9:20</t>
        </is>
      </c>
      <c r="C26" s="6" t="inlineStr">
        <is>
          <t>[HOLD] Tentative</t>
        </is>
      </c>
      <c r="D26" s="5" t="inlineStr">
        <is>
          <t>4:00-4:50</t>
        </is>
      </c>
      <c r="E26" s="6" t="inlineStr">
        <is>
          <t>U18A</t>
        </is>
      </c>
      <c r="G26" s="22" t="inlineStr"/>
      <c r="H26" s="22" t="inlineStr"/>
      <c r="I26" s="22" t="inlineStr"/>
      <c r="J26" s="22" t="inlineStr"/>
    </row>
    <row r="27">
      <c r="B27" s="5" t="inlineStr"/>
      <c r="C27" s="6" t="inlineStr"/>
      <c r="D27" s="5" t="inlineStr">
        <is>
          <t>5:00-5:50</t>
        </is>
      </c>
      <c r="E27" s="6" t="inlineStr">
        <is>
          <t>U15AA</t>
        </is>
      </c>
      <c r="G27" s="22" t="inlineStr"/>
      <c r="H27" s="22" t="inlineStr"/>
      <c r="I27" s="22" t="inlineStr"/>
      <c r="J27" s="22" t="inlineStr"/>
    </row>
  </sheetData>
  <conditionalFormatting sqref="B3:J35">
    <cfRule type="cellIs" priority="1" operator="equal" dxfId="0" stopIfTrue="1">
      <formula>"[OPEN] Available"</formula>
    </cfRule>
    <cfRule type="cellIs" priority="2" operator="equal" dxfId="1" stopIfTrue="1">
      <formula>"[HOLD] Tentative"</formula>
    </cfRule>
    <cfRule type="cellIs" priority="3" operator="equal" dxfId="2" stopIfTrue="1">
      <formula>"[DEAD] Released Ice"</formula>
    </cfRule>
    <cfRule type="cellIs" priority="4" operator="equal" dxfId="3" stopIfTrue="1">
      <formula>"JrA Games"</formula>
    </cfRule>
    <cfRule type="cellIs" priority="5" operator="equal" dxfId="3" stopIfTrue="1">
      <formula>"Senior Game"</formula>
    </cfRule>
    <cfRule type="cellIs" priority="6" operator="equal" dxfId="4" stopIfTrue="1">
      <formula>"TAMHA Development"</formula>
    </cfRule>
    <cfRule type="cellIs" priority="7" operator="equal" dxfId="4" stopIfTrue="1">
      <formula>"Officials"</formula>
    </cfRule>
    <cfRule type="containsText" priority="8" operator="containsText" dxfId="5" text="Game">
      <formula>NOT(ISERROR(SEARCH("Game", B4)))</formula>
    </cfRule>
  </conditionalFormatting>
  <dataValidations count="1">
    <dataValidation sqref="C6 C7 C8 C9 C10 C11 C12 C13 C14 C21 C22 C23 C24 C25 C26 C27 E6 E7 E8 E9 E10 E11 E12 E13 E14 E21 E22 E23 E24 E25 E26 E27 H6 H7 H8 H9 H10 H11 H12 H13 H14 H21 H22 H23 H24 H25 H26 H27 J6 J7 J8 J9 J10 J11 J12 J13 J14 J21 J22 J23 J24 J25 J26 J27" showDropDown="0" showInputMessage="0" showErrorMessage="0" allowBlank="1" type="list">
      <formula1>=Teams_and_Divisions!$C$5:$C$50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40"/>
  <sheetViews>
    <sheetView workbookViewId="0">
      <selection activeCell="A1" sqref="A1"/>
    </sheetView>
  </sheetViews>
  <sheetFormatPr baseColWidth="8" defaultRowHeight="15"/>
  <cols>
    <col width="28" customWidth="1" min="2" max="2"/>
    <col width="14" customWidth="1" min="3" max="3"/>
    <col width="16" customWidth="1" min="4" max="4"/>
    <col width="16" customWidth="1" min="5" max="5"/>
    <col width="16" customWidth="1" min="6" max="6"/>
  </cols>
  <sheetData>
    <row r="1">
      <c r="B1" s="1" t="inlineStr">
        <is>
          <t>TAMHA ICE UTILIZATION &amp; TEAM DASHBOARD</t>
        </is>
      </c>
    </row>
    <row r="2">
      <c r="B2" s="2" t="inlineStr">
        <is>
          <t>Automatic formula aggregation. Updates in real-time as schedule is modified.</t>
        </is>
      </c>
    </row>
    <row r="4">
      <c r="B4" s="4" t="inlineStr">
        <is>
          <t>Ice Status / Availability</t>
        </is>
      </c>
      <c r="C4" s="4" t="inlineStr">
        <is>
          <t>Weekday Slots</t>
        </is>
      </c>
      <c r="D4" s="4" t="inlineStr">
        <is>
          <t>Weekend Slots</t>
        </is>
      </c>
      <c r="E4" s="4" t="inlineStr">
        <is>
          <t>Total Slots</t>
        </is>
      </c>
    </row>
    <row r="5">
      <c r="B5" s="7" t="inlineStr">
        <is>
          <t>Open / Available Ice</t>
        </is>
      </c>
      <c r="C5" s="5">
        <f>COUNTIF(Weekday_Schedule!$C$4:$K$45, "*[OPEN]*")</f>
        <v/>
      </c>
      <c r="D5" s="5">
        <f>COUNTIF(Weekend_Schedule!$C$3:$J$35, "*[OPEN]*")</f>
        <v/>
      </c>
      <c r="E5" s="25">
        <f>SUM(C5:D5)</f>
        <v/>
      </c>
    </row>
    <row r="6">
      <c r="B6" s="7" t="inlineStr">
        <is>
          <t>Tentatively Held Ice</t>
        </is>
      </c>
      <c r="C6" s="5">
        <f>COUNTIF(Weekday_Schedule!$C$4:$K$45, "*[HOLD]*")</f>
        <v/>
      </c>
      <c r="D6" s="5">
        <f>COUNTIF(Weekend_Schedule!$C$3:$J$35, "*[HOLD]*")</f>
        <v/>
      </c>
      <c r="E6" s="25">
        <f>SUM(C6:D6)</f>
        <v/>
      </c>
    </row>
    <row r="7">
      <c r="B7" s="7" t="inlineStr">
        <is>
          <t>Home Games Scheduled</t>
        </is>
      </c>
      <c r="C7" s="5">
        <f>COUNTIF(Weekday_Schedule!$C$4:$K$45, "*(Game)*")</f>
        <v/>
      </c>
      <c r="D7" s="5">
        <f>COUNTIF(Weekend_Schedule!$C$3:$J$35, "*(Game)*")</f>
        <v/>
      </c>
      <c r="E7" s="25">
        <f>SUM(C7:D7)</f>
        <v/>
      </c>
    </row>
    <row r="8">
      <c r="B8" s="7" t="inlineStr">
        <is>
          <t>Released / Dead Ice</t>
        </is>
      </c>
      <c r="C8" s="5">
        <f>COUNTIF(Weekday_Schedule!$C$4:$K$45, "*[DEAD]*")</f>
        <v/>
      </c>
      <c r="D8" s="5">
        <f>COUNTIF(Weekend_Schedule!$C$3:$J$35, "*[DEAD]*")</f>
        <v/>
      </c>
      <c r="E8" s="25">
        <f>SUM(C8:D8)</f>
        <v/>
      </c>
    </row>
    <row r="9">
      <c r="B9" s="7" t="inlineStr">
        <is>
          <t>TAMHA Clinics / Dev</t>
        </is>
      </c>
      <c r="C9" s="5">
        <f>COUNTIF(Weekday_Schedule!$C$4:$K$45, "*Development*")</f>
        <v/>
      </c>
      <c r="D9" s="5">
        <f>COUNTIF(Weekend_Schedule!$C$3:$J$35, "*Development*")</f>
        <v/>
      </c>
      <c r="E9" s="25">
        <f>SUM(C9:D9)</f>
        <v/>
      </c>
    </row>
    <row r="10">
      <c r="B10" s="7" t="inlineStr">
        <is>
          <t>Arena Conflicts (JrA/Senior)</t>
        </is>
      </c>
      <c r="C10" s="5">
        <f>COUNTIF(Weekday_Schedule!$C$4:$K$45, "*Games*")</f>
        <v/>
      </c>
      <c r="D10" s="5">
        <f>COUNTIF(Weekend_Schedule!$C$3:$J$35, "*Games*")</f>
        <v/>
      </c>
      <c r="E10" s="25">
        <f>SUM(C10:D10)</f>
        <v/>
      </c>
    </row>
    <row r="13">
      <c r="B13" s="4" t="inlineStr">
        <is>
          <t>Team / User</t>
        </is>
      </c>
      <c r="C13" s="4" t="inlineStr">
        <is>
          <t>Division</t>
        </is>
      </c>
      <c r="D13" s="4" t="inlineStr">
        <is>
          <t>Weekday Slots</t>
        </is>
      </c>
      <c r="E13" s="4" t="inlineStr">
        <is>
          <t>Weekend Slots</t>
        </is>
      </c>
      <c r="F13" s="4" t="inlineStr">
        <is>
          <t>Total Slots</t>
        </is>
      </c>
    </row>
    <row r="14">
      <c r="B14" s="6" t="inlineStr">
        <is>
          <t>U7-4</t>
        </is>
      </c>
      <c r="C14" s="5" t="inlineStr">
        <is>
          <t>U7</t>
        </is>
      </c>
      <c r="D14" s="5">
        <f>COUNTIF(Weekday_Schedule!$C$4:$K$45, "U7-4*")</f>
        <v/>
      </c>
      <c r="E14" s="5">
        <f>COUNTIF(Weekend_Schedule!$C$3:$J$35, "U7-4*")</f>
        <v/>
      </c>
      <c r="F14" s="25">
        <f>SUM(D14:E14)</f>
        <v/>
      </c>
    </row>
    <row r="15">
      <c r="B15" s="6" t="inlineStr">
        <is>
          <t>U7-5 Blue</t>
        </is>
      </c>
      <c r="C15" s="5" t="inlineStr">
        <is>
          <t>U7</t>
        </is>
      </c>
      <c r="D15" s="5">
        <f>COUNTIF(Weekday_Schedule!$C$4:$K$45, "U7-5 Blue*")</f>
        <v/>
      </c>
      <c r="E15" s="5">
        <f>COUNTIF(Weekend_Schedule!$C$3:$J$35, "U7-5 Blue*")</f>
        <v/>
      </c>
      <c r="F15" s="25">
        <f>SUM(D15:E15)</f>
        <v/>
      </c>
    </row>
    <row r="16">
      <c r="B16" s="6" t="inlineStr">
        <is>
          <t>U7-5 Orange</t>
        </is>
      </c>
      <c r="C16" s="5" t="inlineStr">
        <is>
          <t>U7</t>
        </is>
      </c>
      <c r="D16" s="5">
        <f>COUNTIF(Weekday_Schedule!$C$4:$K$45, "U7-5 Orange*")</f>
        <v/>
      </c>
      <c r="E16" s="5">
        <f>COUNTIF(Weekend_Schedule!$C$3:$J$35, "U7-5 Orange*")</f>
        <v/>
      </c>
      <c r="F16" s="25">
        <f>SUM(D16:E16)</f>
        <v/>
      </c>
    </row>
    <row r="17">
      <c r="B17" s="6" t="inlineStr">
        <is>
          <t>U7-6</t>
        </is>
      </c>
      <c r="C17" s="5" t="inlineStr">
        <is>
          <t>U7</t>
        </is>
      </c>
      <c r="D17" s="5">
        <f>COUNTIF(Weekday_Schedule!$C$4:$K$45, "U7-6*")</f>
        <v/>
      </c>
      <c r="E17" s="5">
        <f>COUNTIF(Weekend_Schedule!$C$3:$J$35, "U7-6*")</f>
        <v/>
      </c>
      <c r="F17" s="25">
        <f>SUM(D17:E17)</f>
        <v/>
      </c>
    </row>
    <row r="18">
      <c r="B18" s="6" t="inlineStr">
        <is>
          <t>U9 Int</t>
        </is>
      </c>
      <c r="C18" s="5" t="inlineStr">
        <is>
          <t>U9</t>
        </is>
      </c>
      <c r="D18" s="5">
        <f>COUNTIF(Weekday_Schedule!$C$4:$K$45, "U9 Int*")</f>
        <v/>
      </c>
      <c r="E18" s="5">
        <f>COUNTIF(Weekend_Schedule!$C$3:$J$35, "U9 Int*")</f>
        <v/>
      </c>
      <c r="F18" s="25">
        <f>SUM(D18:E18)</f>
        <v/>
      </c>
    </row>
    <row r="19">
      <c r="B19" s="6" t="inlineStr">
        <is>
          <t>U9 Adv</t>
        </is>
      </c>
      <c r="C19" s="5" t="inlineStr">
        <is>
          <t>U9</t>
        </is>
      </c>
      <c r="D19" s="5">
        <f>COUNTIF(Weekday_Schedule!$C$4:$K$45, "U9 Adv*")</f>
        <v/>
      </c>
      <c r="E19" s="5">
        <f>COUNTIF(Weekend_Schedule!$C$3:$J$35, "U9 Adv*")</f>
        <v/>
      </c>
      <c r="F19" s="25">
        <f>SUM(D19:E19)</f>
        <v/>
      </c>
    </row>
    <row r="20">
      <c r="B20" s="6" t="inlineStr">
        <is>
          <t>U9 Jayasinghe</t>
        </is>
      </c>
      <c r="C20" s="5" t="inlineStr">
        <is>
          <t>U9</t>
        </is>
      </c>
      <c r="D20" s="5">
        <f>COUNTIF(Weekday_Schedule!$C$4:$K$45, "U9 Jayasinghe*")</f>
        <v/>
      </c>
      <c r="E20" s="5">
        <f>COUNTIF(Weekend_Schedule!$C$3:$J$35, "U9 Jayasinghe*")</f>
        <v/>
      </c>
      <c r="F20" s="25">
        <f>SUM(D20:E20)</f>
        <v/>
      </c>
    </row>
    <row r="21">
      <c r="B21" s="6" t="inlineStr">
        <is>
          <t>U9 John</t>
        </is>
      </c>
      <c r="C21" s="5" t="inlineStr">
        <is>
          <t>U9</t>
        </is>
      </c>
      <c r="D21" s="5">
        <f>COUNTIF(Weekday_Schedule!$C$4:$K$45, "U9 John*")</f>
        <v/>
      </c>
      <c r="E21" s="5">
        <f>COUNTIF(Weekend_Schedule!$C$3:$J$35, "U9 John*")</f>
        <v/>
      </c>
      <c r="F21" s="25">
        <f>SUM(D21:E21)</f>
        <v/>
      </c>
    </row>
    <row r="22">
      <c r="B22" s="6" t="inlineStr">
        <is>
          <t>U11AA</t>
        </is>
      </c>
      <c r="C22" s="5" t="inlineStr">
        <is>
          <t>U11</t>
        </is>
      </c>
      <c r="D22" s="5">
        <f>COUNTIF(Weekday_Schedule!$C$4:$K$45, "U11AA*")</f>
        <v/>
      </c>
      <c r="E22" s="5">
        <f>COUNTIF(Weekend_Schedule!$C$3:$J$35, "U11AA*")</f>
        <v/>
      </c>
      <c r="F22" s="25">
        <f>SUM(D22:E22)</f>
        <v/>
      </c>
    </row>
    <row r="23">
      <c r="B23" s="6" t="inlineStr">
        <is>
          <t>U11A</t>
        </is>
      </c>
      <c r="C23" s="5" t="inlineStr">
        <is>
          <t>U11</t>
        </is>
      </c>
      <c r="D23" s="5">
        <f>COUNTIF(Weekday_Schedule!$C$4:$K$45, "U11A*")</f>
        <v/>
      </c>
      <c r="E23" s="5">
        <f>COUNTIF(Weekend_Schedule!$C$3:$J$35, "U11A*")</f>
        <v/>
      </c>
      <c r="F23" s="25">
        <f>SUM(D23:E23)</f>
        <v/>
      </c>
    </row>
    <row r="24">
      <c r="B24" s="6" t="inlineStr">
        <is>
          <t>U11B</t>
        </is>
      </c>
      <c r="C24" s="5" t="inlineStr">
        <is>
          <t>U11</t>
        </is>
      </c>
      <c r="D24" s="5">
        <f>COUNTIF(Weekday_Schedule!$C$4:$K$45, "U11B*")</f>
        <v/>
      </c>
      <c r="E24" s="5">
        <f>COUNTIF(Weekend_Schedule!$C$3:$J$35, "U11B*")</f>
        <v/>
      </c>
      <c r="F24" s="25">
        <f>SUM(D24:E24)</f>
        <v/>
      </c>
    </row>
    <row r="25">
      <c r="B25" s="6" t="inlineStr">
        <is>
          <t>U11 Bernard</t>
        </is>
      </c>
      <c r="C25" s="5" t="inlineStr">
        <is>
          <t>U11</t>
        </is>
      </c>
      <c r="D25" s="5">
        <f>COUNTIF(Weekday_Schedule!$C$4:$K$45, "U11 Bernard*")</f>
        <v/>
      </c>
      <c r="E25" s="5">
        <f>COUNTIF(Weekend_Schedule!$C$3:$J$35, "U11 Bernard*")</f>
        <v/>
      </c>
      <c r="F25" s="25">
        <f>SUM(D25:E25)</f>
        <v/>
      </c>
    </row>
    <row r="26">
      <c r="B26" s="6" t="inlineStr">
        <is>
          <t>U11 Simms</t>
        </is>
      </c>
      <c r="C26" s="5" t="inlineStr">
        <is>
          <t>U11</t>
        </is>
      </c>
      <c r="D26" s="5">
        <f>COUNTIF(Weekday_Schedule!$C$4:$K$45, "U11 Simms*")</f>
        <v/>
      </c>
      <c r="E26" s="5">
        <f>COUNTIF(Weekend_Schedule!$C$3:$J$35, "U11 Simms*")</f>
        <v/>
      </c>
      <c r="F26" s="25">
        <f>SUM(D26:E26)</f>
        <v/>
      </c>
    </row>
    <row r="27">
      <c r="B27" s="6" t="inlineStr">
        <is>
          <t>U13AAA</t>
        </is>
      </c>
      <c r="C27" s="5" t="inlineStr">
        <is>
          <t>U13</t>
        </is>
      </c>
      <c r="D27" s="5">
        <f>COUNTIF(Weekday_Schedule!$C$4:$K$45, "U13AAA*")</f>
        <v/>
      </c>
      <c r="E27" s="5">
        <f>COUNTIF(Weekend_Schedule!$C$3:$J$35, "U13AAA*")</f>
        <v/>
      </c>
      <c r="F27" s="25">
        <f>SUM(D27:E27)</f>
        <v/>
      </c>
    </row>
    <row r="28">
      <c r="B28" s="6" t="inlineStr">
        <is>
          <t>U13AA</t>
        </is>
      </c>
      <c r="C28" s="5" t="inlineStr">
        <is>
          <t>U13</t>
        </is>
      </c>
      <c r="D28" s="5">
        <f>COUNTIF(Weekday_Schedule!$C$4:$K$45, "U13AA*")</f>
        <v/>
      </c>
      <c r="E28" s="5">
        <f>COUNTIF(Weekend_Schedule!$C$3:$J$35, "U13AA*")</f>
        <v/>
      </c>
      <c r="F28" s="25">
        <f>SUM(D28:E28)</f>
        <v/>
      </c>
    </row>
    <row r="29">
      <c r="B29" s="6" t="inlineStr">
        <is>
          <t>U13A</t>
        </is>
      </c>
      <c r="C29" s="5" t="inlineStr">
        <is>
          <t>U13</t>
        </is>
      </c>
      <c r="D29" s="5">
        <f>COUNTIF(Weekday_Schedule!$C$4:$K$45, "U13A*")</f>
        <v/>
      </c>
      <c r="E29" s="5">
        <f>COUNTIF(Weekend_Schedule!$C$3:$J$35, "U13A*")</f>
        <v/>
      </c>
      <c r="F29" s="25">
        <f>SUM(D29:E29)</f>
        <v/>
      </c>
    </row>
    <row r="30">
      <c r="B30" s="6" t="inlineStr">
        <is>
          <t>U13B</t>
        </is>
      </c>
      <c r="C30" s="5" t="inlineStr">
        <is>
          <t>U13</t>
        </is>
      </c>
      <c r="D30" s="5">
        <f>COUNTIF(Weekday_Schedule!$C$4:$K$45, "U13B*")</f>
        <v/>
      </c>
      <c r="E30" s="5">
        <f>COUNTIF(Weekend_Schedule!$C$3:$J$35, "U13B*")</f>
        <v/>
      </c>
      <c r="F30" s="25">
        <f>SUM(D30:E30)</f>
        <v/>
      </c>
    </row>
    <row r="31">
      <c r="B31" s="6" t="inlineStr">
        <is>
          <t>U13 Campbell</t>
        </is>
      </c>
      <c r="C31" s="5" t="inlineStr">
        <is>
          <t>U13</t>
        </is>
      </c>
      <c r="D31" s="5">
        <f>COUNTIF(Weekday_Schedule!$C$4:$K$45, "U13 Campbell*")</f>
        <v/>
      </c>
      <c r="E31" s="5">
        <f>COUNTIF(Weekend_Schedule!$C$3:$J$35, "U13 Campbell*")</f>
        <v/>
      </c>
      <c r="F31" s="25">
        <f>SUM(D31:E31)</f>
        <v/>
      </c>
    </row>
    <row r="32">
      <c r="B32" s="6" t="inlineStr">
        <is>
          <t>U13 Cameron</t>
        </is>
      </c>
      <c r="C32" s="5" t="inlineStr">
        <is>
          <t>U13</t>
        </is>
      </c>
      <c r="D32" s="5">
        <f>COUNTIF(Weekday_Schedule!$C$4:$K$45, "U13 Cameron*")</f>
        <v/>
      </c>
      <c r="E32" s="5">
        <f>COUNTIF(Weekend_Schedule!$C$3:$J$35, "U13 Cameron*")</f>
        <v/>
      </c>
      <c r="F32" s="25">
        <f>SUM(D32:E32)</f>
        <v/>
      </c>
    </row>
    <row r="33">
      <c r="B33" s="6" t="inlineStr">
        <is>
          <t>U15AA</t>
        </is>
      </c>
      <c r="C33" s="5" t="inlineStr">
        <is>
          <t>U15</t>
        </is>
      </c>
      <c r="D33" s="5">
        <f>COUNTIF(Weekday_Schedule!$C$4:$K$45, "U15AA*")</f>
        <v/>
      </c>
      <c r="E33" s="5">
        <f>COUNTIF(Weekend_Schedule!$C$3:$J$35, "U15AA*")</f>
        <v/>
      </c>
      <c r="F33" s="25">
        <f>SUM(D33:E33)</f>
        <v/>
      </c>
    </row>
    <row r="34">
      <c r="B34" s="6" t="inlineStr">
        <is>
          <t>U15A</t>
        </is>
      </c>
      <c r="C34" s="5" t="inlineStr">
        <is>
          <t>U15</t>
        </is>
      </c>
      <c r="D34" s="5">
        <f>COUNTIF(Weekday_Schedule!$C$4:$K$45, "U15A*")</f>
        <v/>
      </c>
      <c r="E34" s="5">
        <f>COUNTIF(Weekend_Schedule!$C$3:$J$35, "U15A*")</f>
        <v/>
      </c>
      <c r="F34" s="25">
        <f>SUM(D34:E34)</f>
        <v/>
      </c>
    </row>
    <row r="35">
      <c r="B35" s="6" t="inlineStr">
        <is>
          <t>U15 Bernard</t>
        </is>
      </c>
      <c r="C35" s="5" t="inlineStr">
        <is>
          <t>U15</t>
        </is>
      </c>
      <c r="D35" s="5">
        <f>COUNTIF(Weekday_Schedule!$C$4:$K$45, "U15 Bernard*")</f>
        <v/>
      </c>
      <c r="E35" s="5">
        <f>COUNTIF(Weekend_Schedule!$C$3:$J$35, "U15 Bernard*")</f>
        <v/>
      </c>
      <c r="F35" s="25">
        <f>SUM(D35:E35)</f>
        <v/>
      </c>
    </row>
    <row r="36">
      <c r="B36" s="6" t="inlineStr">
        <is>
          <t>U15 Campbell</t>
        </is>
      </c>
      <c r="C36" s="5" t="inlineStr">
        <is>
          <t>U15</t>
        </is>
      </c>
      <c r="D36" s="5">
        <f>COUNTIF(Weekday_Schedule!$C$4:$K$45, "U15 Campbell*")</f>
        <v/>
      </c>
      <c r="E36" s="5">
        <f>COUNTIF(Weekend_Schedule!$C$3:$J$35, "U15 Campbell*")</f>
        <v/>
      </c>
      <c r="F36" s="25">
        <f>SUM(D36:E36)</f>
        <v/>
      </c>
    </row>
    <row r="37">
      <c r="B37" s="6" t="inlineStr">
        <is>
          <t>U18AA</t>
        </is>
      </c>
      <c r="C37" s="5" t="inlineStr">
        <is>
          <t>U18</t>
        </is>
      </c>
      <c r="D37" s="5">
        <f>COUNTIF(Weekday_Schedule!$C$4:$K$45, "U18AA*")</f>
        <v/>
      </c>
      <c r="E37" s="5">
        <f>COUNTIF(Weekend_Schedule!$C$3:$J$35, "U18AA*")</f>
        <v/>
      </c>
      <c r="F37" s="25">
        <f>SUM(D37:E37)</f>
        <v/>
      </c>
    </row>
    <row r="38">
      <c r="B38" s="6" t="inlineStr">
        <is>
          <t>U18A</t>
        </is>
      </c>
      <c r="C38" s="5" t="inlineStr">
        <is>
          <t>U18</t>
        </is>
      </c>
      <c r="D38" s="5">
        <f>COUNTIF(Weekday_Schedule!$C$4:$K$45, "U18A*")</f>
        <v/>
      </c>
      <c r="E38" s="5">
        <f>COUNTIF(Weekend_Schedule!$C$3:$J$35, "U18A*")</f>
        <v/>
      </c>
      <c r="F38" s="25">
        <f>SUM(D38:E38)</f>
        <v/>
      </c>
    </row>
    <row r="39">
      <c r="B39" s="6" t="inlineStr">
        <is>
          <t>U18 Masters</t>
        </is>
      </c>
      <c r="C39" s="5" t="inlineStr">
        <is>
          <t>U18</t>
        </is>
      </c>
      <c r="D39" s="5">
        <f>COUNTIF(Weekday_Schedule!$C$4:$K$45, "U18 Masters*")</f>
        <v/>
      </c>
      <c r="E39" s="5">
        <f>COUNTIF(Weekend_Schedule!$C$3:$J$35, "U18 Masters*")</f>
        <v/>
      </c>
      <c r="F39" s="25">
        <f>SUM(D39:E39)</f>
        <v/>
      </c>
    </row>
    <row r="40">
      <c r="B40" s="6" t="inlineStr">
        <is>
          <t>U18 Wood</t>
        </is>
      </c>
      <c r="C40" s="5" t="inlineStr">
        <is>
          <t>U18</t>
        </is>
      </c>
      <c r="D40" s="5">
        <f>COUNTIF(Weekday_Schedule!$C$4:$K$45, "U18 Wood*")</f>
        <v/>
      </c>
      <c r="E40" s="5">
        <f>COUNTIF(Weekend_Schedule!$C$3:$J$35, "U18 Wood*")</f>
        <v/>
      </c>
      <c r="F40" s="25">
        <f>SUM(D40:E40)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2026-10-01T12:55:44Z</dcterms:created>
  <dcterms:modified xmlns:dcterms="http://purl.org/dc/terms/" xmlns:xsi="http://www.w3.org/2001/XMLSchema-instance" xsi:type="dcterms:W3CDTF">2026-10-01T12:55:44Z</dcterms:modified>
</cp:coreProperties>
</file>